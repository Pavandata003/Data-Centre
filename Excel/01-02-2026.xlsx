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avan-Github\Data-Centre\Pratics task\"/>
    </mc:Choice>
  </mc:AlternateContent>
  <xr:revisionPtr revIDLastSave="0" documentId="13_ncr:1_{883309DF-2991-404E-B999-054F8A245855}" xr6:coauthVersionLast="47" xr6:coauthVersionMax="47" xr10:uidLastSave="{00000000-0000-0000-0000-000000000000}"/>
  <bookViews>
    <workbookView xWindow="-120" yWindow="-120" windowWidth="29040" windowHeight="15720" xr2:uid="{2CB805A9-5E2E-45C1-BBC0-A8EE55149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5" i="1" l="1"/>
  <c r="O28" i="1"/>
  <c r="N28" i="1"/>
  <c r="P28" i="1" s="1"/>
  <c r="M28" i="1"/>
  <c r="I28" i="1"/>
  <c r="O23" i="1"/>
  <c r="L23" i="1"/>
  <c r="I23" i="1"/>
  <c r="R18" i="1"/>
  <c r="Q18" i="1"/>
  <c r="S18" i="1" s="1"/>
  <c r="O18" i="1"/>
  <c r="Q15" i="1"/>
  <c r="P15" i="1"/>
  <c r="O15" i="1"/>
  <c r="Q10" i="1"/>
  <c r="Q6" i="1"/>
  <c r="M3" i="1"/>
  <c r="J16" i="1"/>
  <c r="J3" i="1"/>
  <c r="J13" i="1"/>
  <c r="J10" i="1"/>
  <c r="J7" i="1"/>
  <c r="S15" i="1" l="1"/>
</calcChain>
</file>

<file path=xl/sharedStrings.xml><?xml version="1.0" encoding="utf-8"?>
<sst xmlns="http://schemas.openxmlformats.org/spreadsheetml/2006/main" count="100" uniqueCount="37">
  <si>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</si>
  <si>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</si>
  <si>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</si>
  <si>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</si>
  <si>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</si>
  <si>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</si>
  <si>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</si>
  <si>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</si>
  <si>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</si>
  <si>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</si>
  <si>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</si>
  <si>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</si>
  <si>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</si>
  <si>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</si>
  <si>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</si>
  <si>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</si>
  <si>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</si>
  <si>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</si>
  <si>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</si>
  <si>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</si>
  <si>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</si>
  <si>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</si>
  <si>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</si>
  <si>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</si>
  <si>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</si>
  <si>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</si>
  <si>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</si>
  <si>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</si>
  <si>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</si>
  <si>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</si>
  <si>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</si>
  <si>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</si>
  <si>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</si>
  <si>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</si>
  <si>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Bonus Amount</t>
  </si>
  <si>
    <t>Employee Name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</si>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</sst>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A15E-63A8-47DE-8D0E-BAE25D050A5A}">
  <dimension ref="A2:U28"/>
  <sheetViews>
    <sheetView tabSelected="1" workbookViewId="0">
      <selection activeCell="R29" sqref="R29"/>
    </sheetView>
  </sheetViews>
  <sheetFormatPr defaultRowHeight="15" x14ac:dyDescent="0.25"/>
  <cols>
    <col min="1" max="1" width="11.7109375" bestFit="1" customWidth="1"/>
    <col min="2" max="2" width="13.42578125" bestFit="1" customWidth="1"/>
    <col min="3" max="3" width="11.7109375" bestFit="1" customWidth="1"/>
    <col min="4" max="4" width="10.5703125" bestFit="1" customWidth="1"/>
    <col min="5" max="5" width="6.28515625" bestFit="1" customWidth="1"/>
    <col min="6" max="6" width="11.140625" bestFit="1" customWidth="1"/>
    <col min="7" max="7" width="11.140625" customWidth="1"/>
    <col min="8" max="9" width="11.7109375" bestFit="1" customWidth="1"/>
    <col min="10" max="10" width="13.42578125" bestFit="1" customWidth="1"/>
    <col min="12" max="13" width="13.42578125" bestFit="1" customWidth="1"/>
    <col min="14" max="14" width="11.7109375" bestFit="1" customWidth="1"/>
    <col min="15" max="17" width="13.140625" bestFit="1" customWidth="1"/>
    <col min="19" max="19" width="14.140625" bestFit="1" customWidth="1"/>
  </cols>
  <sheetData>
    <row r="2" spans="1: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8"/>
      <c r="I2" s="4" t="s">
        <v>0</v>
      </c>
      <c r="J2" s="4" t="s">
        <v>1</v>
      </c>
      <c r="L2" s="4" t="s">
        <v>0</v>
      </c>
      <c r="M2" s="4" t="s">
        <v>5</v>
      </c>
      <c r="P2" t="s">
        <v>2</v>
      </c>
      <c r="Q2" t="s">
        <v>8</v>
      </c>
      <c r="R2" t="s">
        <v>12</v>
      </c>
      <c r="S2" t="s">
        <v>16</v>
      </c>
      <c r="T2" t="s">
        <v>20</v>
      </c>
      <c r="U2" t="s">
        <v>24</v>
      </c>
    </row>
    <row r="3" spans="1:21" x14ac:dyDescent="0.25">
      <c r="A3" s="1" t="s">
        <v>6</v>
      </c>
      <c r="B3" s="1" t="s">
        <v>7</v>
      </c>
      <c r="C3" s="1" t="s">
        <v>8</v>
      </c>
      <c r="D3" s="1" t="s">
        <v>9</v>
      </c>
      <c r="E3" s="1">
        <v>45000</v>
      </c>
      <c r="F3" s="1">
        <v>2019</v>
      </c>
      <c r="G3" s="8"/>
      <c r="I3" s="5" t="s">
        <v>10</v>
      </c>
      <c r="J3" s="5" t="str">
        <f>+IFERROR(VLOOKUP($I$3,$A$2:$F$10,2,FALSE),"Not Found")</f>
        <v>Ananya Gupta</v>
      </c>
      <c r="L3" s="5" t="s">
        <v>6</v>
      </c>
      <c r="M3" s="5">
        <f>+VLOOKUP(L3,$A$2:$F$10,6,FALSE)</f>
        <v>2019</v>
      </c>
      <c r="P3" t="s">
        <v>33</v>
      </c>
      <c r="Q3">
        <v>0.1</v>
      </c>
      <c r="R3">
        <v>0.08</v>
      </c>
      <c r="S3">
        <v>0.12</v>
      </c>
      <c r="T3">
        <v>0.15</v>
      </c>
      <c r="U3">
        <v>0.09</v>
      </c>
    </row>
    <row r="4" spans="1:2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>
        <v>52000</v>
      </c>
      <c r="F4" s="1">
        <v>2018</v>
      </c>
      <c r="G4" s="8"/>
    </row>
    <row r="5" spans="1:21" x14ac:dyDescent="0.25">
      <c r="A5" s="1" t="s">
        <v>14</v>
      </c>
      <c r="B5" s="1" t="s">
        <v>15</v>
      </c>
      <c r="C5" s="1" t="s">
        <v>16</v>
      </c>
      <c r="D5" s="1" t="s">
        <v>17</v>
      </c>
      <c r="E5" s="1">
        <v>65000</v>
      </c>
      <c r="F5" s="1">
        <v>2020</v>
      </c>
      <c r="G5" s="8"/>
      <c r="P5" s="4" t="s">
        <v>2</v>
      </c>
      <c r="Q5" s="6" t="s">
        <v>16</v>
      </c>
    </row>
    <row r="6" spans="1:2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>
        <v>58000</v>
      </c>
      <c r="F6" s="1">
        <v>2017</v>
      </c>
      <c r="G6" s="8"/>
      <c r="I6" s="4" t="s">
        <v>0</v>
      </c>
      <c r="J6" s="4" t="s">
        <v>2</v>
      </c>
      <c r="P6" s="1" t="s">
        <v>33</v>
      </c>
      <c r="Q6" s="7">
        <f>+HLOOKUP(Q5,$P$2:U3,2,FALSE)</f>
        <v>0.12</v>
      </c>
    </row>
    <row r="7" spans="1:21" x14ac:dyDescent="0.25">
      <c r="A7" s="1" t="s">
        <v>22</v>
      </c>
      <c r="B7" s="1" t="s">
        <v>23</v>
      </c>
      <c r="C7" s="1" t="s">
        <v>24</v>
      </c>
      <c r="D7" s="1" t="s">
        <v>9</v>
      </c>
      <c r="E7" s="1">
        <v>48000</v>
      </c>
      <c r="F7" s="1">
        <v>2021</v>
      </c>
      <c r="G7" s="8"/>
      <c r="I7" s="5" t="s">
        <v>14</v>
      </c>
      <c r="J7" s="5" t="str">
        <f>+VLOOKUP($I$3,$A$2:$F$10,3,FALSE)</f>
        <v>HR</v>
      </c>
    </row>
    <row r="8" spans="1:21" x14ac:dyDescent="0.25">
      <c r="A8" s="1" t="s">
        <v>25</v>
      </c>
      <c r="B8" s="1" t="s">
        <v>26</v>
      </c>
      <c r="C8" s="1" t="s">
        <v>16</v>
      </c>
      <c r="D8" s="1" t="s">
        <v>27</v>
      </c>
      <c r="E8" s="1">
        <v>62000</v>
      </c>
      <c r="F8" s="1">
        <v>2019</v>
      </c>
      <c r="G8" s="8"/>
    </row>
    <row r="9" spans="1:21" x14ac:dyDescent="0.25">
      <c r="A9" s="1" t="s">
        <v>28</v>
      </c>
      <c r="B9" s="1" t="s">
        <v>29</v>
      </c>
      <c r="C9" s="1" t="s">
        <v>8</v>
      </c>
      <c r="D9" s="1" t="s">
        <v>30</v>
      </c>
      <c r="E9" s="1">
        <v>47000</v>
      </c>
      <c r="F9" s="1">
        <v>2020</v>
      </c>
      <c r="G9" s="8"/>
      <c r="I9" s="4" t="s">
        <v>1</v>
      </c>
      <c r="J9" s="4" t="s">
        <v>4</v>
      </c>
      <c r="P9" s="4" t="s">
        <v>2</v>
      </c>
      <c r="Q9" s="6" t="s">
        <v>20</v>
      </c>
    </row>
    <row r="10" spans="1:21" x14ac:dyDescent="0.25">
      <c r="A10" s="1" t="s">
        <v>31</v>
      </c>
      <c r="B10" s="1" t="s">
        <v>32</v>
      </c>
      <c r="C10" s="1" t="s">
        <v>12</v>
      </c>
      <c r="D10" s="1" t="s">
        <v>17</v>
      </c>
      <c r="E10" s="1">
        <v>54000</v>
      </c>
      <c r="F10" s="1">
        <v>2016</v>
      </c>
      <c r="G10" s="8"/>
      <c r="I10" s="1" t="s">
        <v>19</v>
      </c>
      <c r="J10" s="1">
        <f>+VLOOKUP(I10,B2:E10,4,FALSE)</f>
        <v>58000</v>
      </c>
      <c r="P10" s="1" t="s">
        <v>33</v>
      </c>
      <c r="Q10" s="7">
        <f>+HLOOKUP(Q9,$P$2:U7,2,FALSE)</f>
        <v>0.15</v>
      </c>
    </row>
    <row r="12" spans="1:21" x14ac:dyDescent="0.25">
      <c r="I12" s="4" t="s">
        <v>0</v>
      </c>
      <c r="J12" s="4" t="s">
        <v>3</v>
      </c>
    </row>
    <row r="13" spans="1:21" x14ac:dyDescent="0.25">
      <c r="I13" s="5" t="s">
        <v>10</v>
      </c>
      <c r="J13" s="1" t="str">
        <f>+VLOOKUP(I13,$A$2:$F$10,4,FALSE)</f>
        <v>Delhi</v>
      </c>
    </row>
    <row r="14" spans="1:21" x14ac:dyDescent="0.25">
      <c r="N14" s="4" t="s">
        <v>0</v>
      </c>
      <c r="O14" s="4" t="s">
        <v>1</v>
      </c>
      <c r="P14" s="4" t="s">
        <v>2</v>
      </c>
      <c r="Q14" s="4" t="s">
        <v>4</v>
      </c>
      <c r="R14" s="4" t="s">
        <v>33</v>
      </c>
      <c r="S14" s="4" t="s">
        <v>34</v>
      </c>
    </row>
    <row r="15" spans="1:21" x14ac:dyDescent="0.25">
      <c r="I15" s="4" t="s">
        <v>0</v>
      </c>
      <c r="J15" s="4" t="s">
        <v>3</v>
      </c>
      <c r="N15" s="5" t="s">
        <v>18</v>
      </c>
      <c r="O15" s="1" t="str">
        <f>+VLOOKUP($N$15,$A$2:$F$10,2,FALSE)</f>
        <v>Neha Singh</v>
      </c>
      <c r="P15" s="1" t="str">
        <f>+VLOOKUP($N$15,$A$2:$F$10,3,FALSE)</f>
        <v>Finance</v>
      </c>
      <c r="Q15" s="1">
        <f>+VLOOKUP($N$15,$A$2:$F$10,5,FALSE)</f>
        <v>58000</v>
      </c>
      <c r="R15" s="1">
        <f>+HLOOKUP(P15,$P$2:$U$3,2,FALSE)</f>
        <v>0.15</v>
      </c>
      <c r="S15" s="1">
        <f>+Q15*R15</f>
        <v>8700</v>
      </c>
    </row>
    <row r="16" spans="1:21" x14ac:dyDescent="0.25">
      <c r="I16" s="1">
        <v>123</v>
      </c>
      <c r="J16" s="1" t="str">
        <f>+IFERROR(VLOOKUP(I16,$A$2:$F$10,4,FALSE),"Not found")</f>
        <v>Not found</v>
      </c>
    </row>
    <row r="17" spans="8:19" x14ac:dyDescent="0.25">
      <c r="N17" s="4" t="s">
        <v>0</v>
      </c>
      <c r="O17" s="4" t="s">
        <v>1</v>
      </c>
      <c r="P17" s="4" t="s">
        <v>2</v>
      </c>
      <c r="Q17" s="4" t="s">
        <v>4</v>
      </c>
      <c r="R17" s="4" t="s">
        <v>33</v>
      </c>
      <c r="S17" s="4" t="s">
        <v>34</v>
      </c>
    </row>
    <row r="18" spans="8:19" x14ac:dyDescent="0.25">
      <c r="N18" s="5" t="s">
        <v>18</v>
      </c>
      <c r="O18" s="1" t="str">
        <f>+VLOOKUP($N$15,$A$2:$F$10,2,FALSE)</f>
        <v>Neha Singh</v>
      </c>
      <c r="P18" s="2"/>
      <c r="Q18" s="1">
        <f>+VLOOKUP($N$15,$A$2:$F$10,5,FALSE)</f>
        <v>58000</v>
      </c>
      <c r="R18" s="1" t="str">
        <f>+IFERROR(HLOOKUP(P18,$P$2:$U$3,2,FALSE),"No Bonus")</f>
        <v>No Bonus</v>
      </c>
      <c r="S18" s="1" t="str">
        <f>+IFERROR(Q18*R18,"No Bonus")</f>
        <v>No Bonus</v>
      </c>
    </row>
    <row r="22" spans="8:19" x14ac:dyDescent="0.25">
      <c r="H22" s="4" t="s">
        <v>0</v>
      </c>
      <c r="I22" s="4" t="s">
        <v>4</v>
      </c>
      <c r="K22" s="4" t="s">
        <v>35</v>
      </c>
      <c r="L22" s="4" t="s">
        <v>2</v>
      </c>
      <c r="N22" s="4" t="s">
        <v>35</v>
      </c>
      <c r="O22" s="4" t="s">
        <v>3</v>
      </c>
    </row>
    <row r="23" spans="8:19" x14ac:dyDescent="0.25">
      <c r="H23" s="1" t="s">
        <v>18</v>
      </c>
      <c r="I23" s="1">
        <f>+_xlfn.XLOOKUP(H23,A2:A10,E2:E10)</f>
        <v>58000</v>
      </c>
      <c r="K23" s="1" t="s">
        <v>19</v>
      </c>
      <c r="L23" s="1" t="str">
        <f>+_xlfn.XLOOKUP(K23,B2:B10,C2:C10)</f>
        <v>Finance</v>
      </c>
      <c r="N23" s="1" t="s">
        <v>19</v>
      </c>
      <c r="O23" s="1" t="str">
        <f>+_xlfn.XLOOKUP(N23,B2:B10,D2:D10)</f>
        <v>Pune</v>
      </c>
    </row>
    <row r="27" spans="8:19" x14ac:dyDescent="0.25">
      <c r="H27" s="4" t="s">
        <v>0</v>
      </c>
      <c r="I27" s="4" t="s">
        <v>1</v>
      </c>
      <c r="L27" s="1" t="s">
        <v>0</v>
      </c>
      <c r="M27" s="1" t="s">
        <v>1</v>
      </c>
      <c r="N27" s="1" t="s">
        <v>2</v>
      </c>
      <c r="O27" s="1" t="s">
        <v>3</v>
      </c>
      <c r="P27" s="1" t="s">
        <v>33</v>
      </c>
    </row>
    <row r="28" spans="8:19" x14ac:dyDescent="0.25">
      <c r="H28" s="3" t="s">
        <v>36</v>
      </c>
      <c r="I28" s="2" t="str">
        <f>+IFERROR(VLOOKUP(H28,$A$2:$F$10,2,FALSE),"Not Found")</f>
        <v>Not Found</v>
      </c>
      <c r="L28" s="5" t="s">
        <v>10</v>
      </c>
      <c r="M28" s="1" t="str">
        <f>+_xlfn.XLOOKUP(L28,A3:A10,B3:B10)</f>
        <v>Ananya Gupta</v>
      </c>
      <c r="N28" s="1" t="str">
        <f>+_xlfn.XLOOKUP(L28,A3:A10,C3:C10)</f>
        <v>HR</v>
      </c>
      <c r="O28" s="1" t="str">
        <f>+_xlfn.XLOOKUP(L28,A3:A10,D3:D10)</f>
        <v>Delhi</v>
      </c>
      <c r="P28" s="1">
        <f>+_xlfn.XLOOKUP(N28,P2:U2,P3:U3)</f>
        <v>0.08</v>
      </c>
    </row>
  </sheetData>
  <dataValidations count="3">
    <dataValidation type="list" allowBlank="1" showInputMessage="1" showErrorMessage="1" sqref="I3 I7 I13 L3 N15 N18 L28" xr:uid="{C8A4F914-6EED-4840-8BAC-8916B10C4A54}">
      <formula1>$A$3:$A$10</formula1>
    </dataValidation>
    <dataValidation type="list" allowBlank="1" showInputMessage="1" showErrorMessage="1" sqref="I10 K23 N23" xr:uid="{14E33B3E-4B27-4373-8452-61CBA283D51E}">
      <formula1>$B$3:$B$10</formula1>
    </dataValidation>
    <dataValidation type="list" allowBlank="1" showInputMessage="1" showErrorMessage="1" sqref="Q5 Q9" xr:uid="{F000EF84-73F4-4D3C-AB88-EC12BA7415B0}">
      <formula1>$Q$2:$U$2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2026-02-01T04:43:22Z</dcterms:created>
  <dcterms:modified xsi:type="dcterms:W3CDTF">2026-02-01T06:00:01Z</dcterms:modified>
</cp:coreProperties>
</file>