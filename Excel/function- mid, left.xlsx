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avan-Github\Data-Centre\Excel\"/>
    </mc:Choice>
  </mc:AlternateContent>
  <xr:revisionPtr revIDLastSave="0" documentId="8_{6D1B74AC-863A-4F43-BB1A-F486D6F48BE4}" xr6:coauthVersionLast="47" xr6:coauthVersionMax="47" xr10:uidLastSave="{00000000-0000-0000-0000-000000000000}"/>
  <bookViews>
    <workbookView xWindow="-120" yWindow="-120" windowWidth="29040" windowHeight="15720" xr2:uid="{35762A13-C0C6-480A-BD4D-3B3040F6A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0" i="1" l="1"/>
  <c r="B21" i="1"/>
  <c r="B22" i="1"/>
  <c r="B23" i="1"/>
  <c r="B19" i="1"/>
  <c r="E19" i="1" s="1"/>
  <c r="B30" i="1"/>
  <c r="B31" i="1"/>
  <c r="B32" i="1"/>
  <c r="B33" i="1"/>
  <c r="B29" i="1"/>
  <c r="F20" i="1"/>
  <c r="F21" i="1"/>
  <c r="F22" i="1"/>
  <c r="F23" i="1"/>
  <c r="F19" i="1"/>
  <c r="E20" i="1"/>
  <c r="E21" i="1"/>
  <c r="E22" i="1"/>
  <c r="E23" i="1"/>
  <c r="D20" i="1"/>
  <c r="D21" i="1"/>
  <c r="D22" i="1"/>
  <c r="D23" i="1"/>
  <c r="D19" i="1"/>
  <c r="C20" i="1"/>
  <c r="C21" i="1"/>
  <c r="C22" i="1"/>
  <c r="C23" i="1"/>
  <c r="D12" i="1"/>
  <c r="D13" i="1"/>
  <c r="D14" i="1"/>
  <c r="D15" i="1"/>
  <c r="D11" i="1"/>
  <c r="C12" i="1"/>
  <c r="C13" i="1"/>
  <c r="C14" i="1"/>
  <c r="C15" i="1"/>
  <c r="C11" i="1"/>
  <c r="B11" i="1" a="1"/>
  <c r="B11" i="1" s="1"/>
  <c r="D4" i="1"/>
  <c r="D5" i="1"/>
  <c r="D6" i="1"/>
  <c r="D7" i="1"/>
  <c r="D3" i="1"/>
  <c r="C4" i="1"/>
  <c r="C5" i="1"/>
  <c r="C6" i="1"/>
  <c r="C7" i="1"/>
  <c r="C3" i="1"/>
  <c r="B4" i="1"/>
  <c r="B5" i="1"/>
  <c r="B6" i="1"/>
  <c r="B7" i="1"/>
  <c r="B3" i="1"/>
  <c r="C1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<sst xmlns="http://schemas.openxmlformats.org/spreadsheetml/2006/main" count="35" uniqueCount="35">
  <si>
    <t>Product Code</t>
  </si>
  <si>
    <t>Category</t>
  </si>
  <si>
    <t>Product Number</t>
  </si>
  <si>
    <t>Country Code</t>
  </si>
  <si>
    <t>ELEC-1023-US</t>
  </si>
  <si>
    <t>FASH-2045-UK</t>
  </si>
  <si>
    <t>TOYS-3098-IN</t>
  </si>
  <si>
    <t>FOOD-4512-AU</t>
  </si>
  <si>
    <t>HOME-5679-US</t>
  </si>
  <si>
    <t>Customer Name</t>
  </si>
  <si>
    <t>Clean Name</t>
  </si>
  <si>
    <t>Upper Case</t>
  </si>
  <si>
    <t>Proper Case</t>
  </si>
  <si>
    <t>john DOE</t>
  </si>
  <si>
    <t>mary jane</t>
  </si>
  <si>
    <t>robert smith</t>
  </si>
  <si>
    <t>lisa Ann</t>
  </si>
  <si>
    <t>david BROWN</t>
  </si>
  <si>
    <t>URL</t>
  </si>
  <si>
    <t>Domain Name</t>
  </si>
  <si>
    <t>Extension</t>
  </si>
  <si>
    <t>https://www.google.com</t>
  </si>
  <si>
    <t>https://www.amazon.in</t>
  </si>
  <si>
    <t>http://www.example.org</t>
  </si>
  <si>
    <t>https://www.wikipedia.org</t>
  </si>
  <si>
    <t>http://www.company.co.uk</t>
  </si>
  <si>
    <t>Invoice ID</t>
  </si>
  <si>
    <t>Prefix</t>
  </si>
  <si>
    <t>Number</t>
  </si>
  <si>
    <t>Suffix</t>
  </si>
  <si>
    <t>INV-202301-US</t>
  </si>
  <si>
    <t>INV-202302-UK</t>
  </si>
  <si>
    <t>INV-202303-IN</t>
  </si>
  <si>
    <t>INV-202304-AU</t>
  </si>
  <si>
    <t>INV-202305-US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</si>
</sst>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xample.org/" TargetMode="External"/><Relationship Id="rId2" Type="http://schemas.openxmlformats.org/officeDocument/2006/relationships/hyperlink" Target="https://www.amazon.in/" TargetMode="External"/><Relationship Id="rId1" Type="http://schemas.openxmlformats.org/officeDocument/2006/relationships/hyperlink" Target="https://www.google.com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company.co.uk/" TargetMode="External"/><Relationship Id="rId4" Type="http://schemas.openxmlformats.org/officeDocument/2006/relationships/hyperlink" Target="https://www.wikipedi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1AFD-0EDB-46B7-A951-4B5C712F5BF2}">
  <dimension ref="A2:F33"/>
  <sheetViews>
    <sheetView tabSelected="1" workbookViewId="0">
      <selection activeCell="K28" sqref="K28"/>
    </sheetView>
  </sheetViews>
  <sheetFormatPr defaultRowHeight="15" x14ac:dyDescent="0.25"/>
  <cols>
    <col min="1" max="1" width="25.85546875" bestFit="1" customWidth="1"/>
    <col min="2" max="2" width="13.7109375" bestFit="1" customWidth="1"/>
    <col min="3" max="3" width="15.7109375" bestFit="1" customWidth="1"/>
    <col min="4" max="4" width="13.140625" bestFit="1" customWidth="1"/>
    <col min="5" max="5" width="19.85546875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 t="s">
        <v>4</v>
      </c>
      <c r="B3" s="1" t="str">
        <f>+LEFT(A3,4)</f>
        <v>ELEC</v>
      </c>
      <c r="C3" s="1" t="str">
        <f>+MID(A3,FIND("-",A3)+1,4)</f>
        <v>1023</v>
      </c>
      <c r="D3" s="1" t="str">
        <f>+RIGHT(A3,2)</f>
        <v>US</v>
      </c>
    </row>
    <row r="4" spans="1:4" x14ac:dyDescent="0.25">
      <c r="A4" s="1" t="s">
        <v>5</v>
      </c>
      <c r="B4" s="1" t="str">
        <f t="shared" ref="B4:B7" si="0">+LEFT(A4,4)</f>
        <v>FASH</v>
      </c>
      <c r="C4" s="1" t="str">
        <f t="shared" ref="C4:C7" si="1">+MID(A4,FIND("-",A4)+1,4)</f>
        <v>2045</v>
      </c>
      <c r="D4" s="1" t="str">
        <f t="shared" ref="D4:D7" si="2">+RIGHT(A4,2)</f>
        <v>UK</v>
      </c>
    </row>
    <row r="5" spans="1:4" x14ac:dyDescent="0.25">
      <c r="A5" s="1" t="s">
        <v>6</v>
      </c>
      <c r="B5" s="1" t="str">
        <f t="shared" si="0"/>
        <v>TOYS</v>
      </c>
      <c r="C5" s="1" t="str">
        <f t="shared" si="1"/>
        <v>3098</v>
      </c>
      <c r="D5" s="1" t="str">
        <f t="shared" si="2"/>
        <v>IN</v>
      </c>
    </row>
    <row r="6" spans="1:4" x14ac:dyDescent="0.25">
      <c r="A6" s="1" t="s">
        <v>7</v>
      </c>
      <c r="B6" s="1" t="str">
        <f t="shared" si="0"/>
        <v>FOOD</v>
      </c>
      <c r="C6" s="1" t="str">
        <f t="shared" si="1"/>
        <v>4512</v>
      </c>
      <c r="D6" s="1" t="str">
        <f t="shared" si="2"/>
        <v>AU</v>
      </c>
    </row>
    <row r="7" spans="1:4" x14ac:dyDescent="0.25">
      <c r="A7" s="1" t="s">
        <v>8</v>
      </c>
      <c r="B7" s="1" t="str">
        <f t="shared" si="0"/>
        <v>HOME</v>
      </c>
      <c r="C7" s="1" t="str">
        <f t="shared" si="1"/>
        <v>5679</v>
      </c>
      <c r="D7" s="1" t="str">
        <f t="shared" si="2"/>
        <v>US</v>
      </c>
    </row>
    <row r="10" spans="1:4" x14ac:dyDescent="0.25">
      <c r="A10" s="1" t="s">
        <v>9</v>
      </c>
      <c r="B10" s="1" t="s">
        <v>10</v>
      </c>
      <c r="C10" s="1" t="s">
        <v>11</v>
      </c>
      <c r="D10" s="1" t="s">
        <v>12</v>
      </c>
    </row>
    <row r="11" spans="1:4" x14ac:dyDescent="0.25">
      <c r="A11" s="1" t="s">
        <v>13</v>
      </c>
      <c r="B11" s="1" t="str" cm="1">
        <f t="array" ref="B11:B15">+TRIM(A11:A15)</f>
        <v>john DOE</v>
      </c>
      <c r="C11" s="1" t="str">
        <f>+UPPER(B11)</f>
        <v>JOHN DOE</v>
      </c>
      <c r="D11" s="1" t="str">
        <f>+PROPER(C11)</f>
        <v>John Doe</v>
      </c>
    </row>
    <row r="12" spans="1:4" x14ac:dyDescent="0.25">
      <c r="A12" s="1" t="s">
        <v>14</v>
      </c>
      <c r="B12" s="1" t="str">
        <v>mary jane</v>
      </c>
      <c r="C12" s="1" t="str">
        <f t="shared" ref="C12:C15" si="3">+UPPER(B12)</f>
        <v>MARY JANE</v>
      </c>
      <c r="D12" s="1" t="str">
        <f t="shared" ref="D12:D15" si="4">+PROPER(C12)</f>
        <v>Mary Jane</v>
      </c>
    </row>
    <row r="13" spans="1:4" x14ac:dyDescent="0.25">
      <c r="A13" s="1" t="s">
        <v>15</v>
      </c>
      <c r="B13" s="1" t="str">
        <v>robert smith</v>
      </c>
      <c r="C13" s="1" t="str">
        <f t="shared" si="3"/>
        <v>ROBERT SMITH</v>
      </c>
      <c r="D13" s="1" t="str">
        <f t="shared" si="4"/>
        <v>Robert Smith</v>
      </c>
    </row>
    <row r="14" spans="1:4" x14ac:dyDescent="0.25">
      <c r="A14" s="1" t="s">
        <v>16</v>
      </c>
      <c r="B14" s="1" t="str">
        <v>lisa Ann</v>
      </c>
      <c r="C14" s="1" t="str">
        <f t="shared" si="3"/>
        <v>LISA ANN</v>
      </c>
      <c r="D14" s="1" t="str">
        <f t="shared" si="4"/>
        <v>Lisa Ann</v>
      </c>
    </row>
    <row r="15" spans="1:4" x14ac:dyDescent="0.25">
      <c r="A15" s="1" t="s">
        <v>17</v>
      </c>
      <c r="B15" s="1" t="str">
        <v>david BROWN</v>
      </c>
      <c r="C15" s="1" t="str">
        <f t="shared" si="3"/>
        <v>DAVID BROWN</v>
      </c>
      <c r="D15" s="1" t="str">
        <f t="shared" si="4"/>
        <v>David Brown</v>
      </c>
    </row>
    <row r="18" spans="1:6" x14ac:dyDescent="0.25">
      <c r="A18" s="1" t="s">
        <v>18</v>
      </c>
      <c r="B18" s="1" t="s">
        <v>19</v>
      </c>
      <c r="C18" s="1" t="s">
        <v>20</v>
      </c>
    </row>
    <row r="19" spans="1:6" x14ac:dyDescent="0.25">
      <c r="A19" s="1" t="s">
        <v>21</v>
      </c>
      <c r="B19" s="1">
        <f>+FIND(".",A19)</f>
        <v>12</v>
      </c>
      <c r="C19" s="1" t="str">
        <f>+RIGHT(A19,B19+1)</f>
        <v>ww.google.com</v>
      </c>
      <c r="D19">
        <f>+LEN(A19)</f>
        <v>22</v>
      </c>
      <c r="E19" t="str">
        <f>+MID(A19,B19,F19)</f>
        <v>.google.com</v>
      </c>
      <c r="F19">
        <f>+FIND(".",A19)</f>
        <v>12</v>
      </c>
    </row>
    <row r="20" spans="1:6" x14ac:dyDescent="0.25">
      <c r="A20" s="1" t="s">
        <v>22</v>
      </c>
      <c r="B20" s="1">
        <f t="shared" ref="B20:B23" si="5">+FIND(".",A20)</f>
        <v>12</v>
      </c>
      <c r="C20" s="1" t="str">
        <f t="shared" ref="C20:C23" si="6">+RIGHT(A20,B20+1)</f>
        <v>www.amazon.in</v>
      </c>
      <c r="D20">
        <f t="shared" ref="D20:D23" si="7">+LEN(A20)</f>
        <v>21</v>
      </c>
      <c r="E20" t="str">
        <f t="shared" ref="E20:E23" si="8">+MID(A20,B20,D20)</f>
        <v>.amazon.in</v>
      </c>
      <c r="F20">
        <f t="shared" ref="F20:F23" si="9">+FIND(".",A20)</f>
        <v>12</v>
      </c>
    </row>
    <row r="21" spans="1:6" x14ac:dyDescent="0.25">
      <c r="A21" s="1" t="s">
        <v>23</v>
      </c>
      <c r="B21" s="1">
        <f t="shared" si="5"/>
        <v>11</v>
      </c>
      <c r="C21" s="1" t="str">
        <f t="shared" si="6"/>
        <v>.example.org</v>
      </c>
      <c r="D21">
        <f t="shared" si="7"/>
        <v>22</v>
      </c>
      <c r="E21" t="str">
        <f t="shared" si="8"/>
        <v>.example.org</v>
      </c>
      <c r="F21">
        <f t="shared" si="9"/>
        <v>11</v>
      </c>
    </row>
    <row r="22" spans="1:6" x14ac:dyDescent="0.25">
      <c r="A22" s="1" t="s">
        <v>24</v>
      </c>
      <c r="B22" s="1">
        <f t="shared" si="5"/>
        <v>12</v>
      </c>
      <c r="C22" s="1" t="str">
        <f t="shared" si="6"/>
        <v>wikipedia.org</v>
      </c>
      <c r="D22">
        <f t="shared" si="7"/>
        <v>25</v>
      </c>
      <c r="E22" t="str">
        <f t="shared" si="8"/>
        <v>.wikipedia.org</v>
      </c>
      <c r="F22">
        <f t="shared" si="9"/>
        <v>12</v>
      </c>
    </row>
    <row r="23" spans="1:6" x14ac:dyDescent="0.25">
      <c r="A23" s="1" t="s">
        <v>25</v>
      </c>
      <c r="B23" s="1">
        <f t="shared" si="5"/>
        <v>11</v>
      </c>
      <c r="C23" s="1" t="str">
        <f t="shared" si="6"/>
        <v>ompany.co.uk</v>
      </c>
      <c r="D23">
        <f t="shared" si="7"/>
        <v>24</v>
      </c>
      <c r="E23" t="str">
        <f t="shared" si="8"/>
        <v>.company.co.uk</v>
      </c>
      <c r="F23">
        <f t="shared" si="9"/>
        <v>11</v>
      </c>
    </row>
    <row r="28" spans="1:6" x14ac:dyDescent="0.25">
      <c r="A28" s="1" t="s">
        <v>26</v>
      </c>
      <c r="B28" s="1" t="s">
        <v>27</v>
      </c>
      <c r="C28" s="1" t="s">
        <v>28</v>
      </c>
      <c r="D28" s="1" t="s">
        <v>29</v>
      </c>
    </row>
    <row r="29" spans="1:6" x14ac:dyDescent="0.25">
      <c r="A29" s="1" t="s">
        <v>30</v>
      </c>
      <c r="B29" s="1" t="str">
        <f>+LEFT(A29,3)</f>
        <v>INV</v>
      </c>
      <c r="C29" s="1"/>
      <c r="D29" s="1"/>
    </row>
    <row r="30" spans="1:6" x14ac:dyDescent="0.25">
      <c r="A30" s="1" t="s">
        <v>31</v>
      </c>
      <c r="B30" s="1" t="str">
        <f t="shared" ref="B30:B33" si="10">+LEFT(A30,3)</f>
        <v>INV</v>
      </c>
      <c r="C30" s="1"/>
      <c r="D30" s="1"/>
    </row>
    <row r="31" spans="1:6" x14ac:dyDescent="0.25">
      <c r="A31" s="1" t="s">
        <v>32</v>
      </c>
      <c r="B31" s="1" t="str">
        <f t="shared" si="10"/>
        <v>INV</v>
      </c>
      <c r="C31" s="1"/>
      <c r="D31" s="1"/>
    </row>
    <row r="32" spans="1:6" x14ac:dyDescent="0.25">
      <c r="A32" s="1" t="s">
        <v>33</v>
      </c>
      <c r="B32" s="1" t="str">
        <f t="shared" si="10"/>
        <v>INV</v>
      </c>
      <c r="C32" s="1"/>
      <c r="D32" s="1"/>
    </row>
    <row r="33" spans="1:4" x14ac:dyDescent="0.25">
      <c r="A33" s="1" t="s">
        <v>34</v>
      </c>
      <c r="B33" s="1" t="str">
        <f t="shared" si="10"/>
        <v>INV</v>
      </c>
      <c r="C33" s="1"/>
      <c r="D33" s="1"/>
    </row>
  </sheetData>
  <hyperlinks>
    <hyperlink ref="A19" r:id="rId1" display="https://www.google.com/" xr:uid="{85CEE4C3-C4D7-4BC1-94BF-8BFBB0FBA315}"/>
    <hyperlink ref="A20" r:id="rId2" display="https://www.amazon.in/" xr:uid="{667543B5-595F-433C-9A73-CF1D4E7C49C8}"/>
    <hyperlink ref="A21" r:id="rId3" display="http://www.example.org/" xr:uid="{3F761C73-3AF7-4CF0-981C-CBC2D3059779}"/>
    <hyperlink ref="A22" r:id="rId4" display="https://www.wikipedia.org/" xr:uid="{50525E4B-2CFF-49BD-8A32-F40DEB7BAD8C}"/>
    <hyperlink ref="A23" r:id="rId5" display="http://www.company.co.uk/" xr:uid="{32BC4470-7A04-49C4-9072-4F96E587DF05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2026-02-01T06:12:59Z</dcterms:created>
  <dcterms:modified xsi:type="dcterms:W3CDTF">2026-02-01T07:43:18Z</dcterms:modified>
</cp:coreProperties>
</file>