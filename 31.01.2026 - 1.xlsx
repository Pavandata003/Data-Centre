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0146337F-EEEB-4C76-AEE4-BB01E53AD241}" xr6:coauthVersionLast="47" xr6:coauthVersionMax="47" xr10:uidLastSave="{00000000-0000-0000-0000-000000000000}"/>
  <bookViews>
    <workbookView xWindow="-120" yWindow="-120" windowWidth="29040" windowHeight="15720" xr2:uid="{DFB24E44-CB6E-41BB-AA35-874BBA1B11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1" i="1" l="1"/>
  <c r="C56" i="1"/>
  <c r="C57" i="1"/>
  <c r="C58" i="1"/>
  <c r="C55" i="1"/>
  <c r="C50" i="1"/>
  <c r="C51" i="1"/>
  <c r="C52" i="1"/>
  <c r="C49" i="1"/>
  <c r="D44" i="1"/>
  <c r="D45" i="1"/>
  <c r="D46" i="1"/>
  <c r="D43" i="1"/>
  <c r="D38" i="1"/>
  <c r="D39" i="1"/>
  <c r="D40" i="1"/>
  <c r="D37" i="1"/>
  <c r="D32" i="1"/>
  <c r="D33" i="1"/>
  <c r="D34" i="1"/>
  <c r="D31" i="1"/>
  <c r="D25" i="1"/>
  <c r="D26" i="1"/>
  <c r="D27" i="1"/>
  <c r="D24" i="1"/>
  <c r="C18" i="1"/>
  <c r="C19" i="1"/>
  <c r="C20" i="1"/>
  <c r="C21" i="1"/>
  <c r="C17" i="1"/>
  <c r="C12" i="1"/>
  <c r="C13" i="1"/>
  <c r="C14" i="1"/>
  <c r="C11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<sst xmlns="http://schemas.openxmlformats.org/spreadsheetml/2006/main" count="82" uniqueCount="45">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</sst>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E63A-B30F-45CD-B15F-37C6180946E4}">
  <dimension ref="A2:D64"/>
  <sheetViews>
    <sheetView tabSelected="1" topLeftCell="A34" workbookViewId="0">
      <selection activeCell="J50" sqref="J50"/>
    </sheetView>
  </sheetViews>
  <sheetFormatPr defaultRowHeight="15" x14ac:dyDescent="0.25"/>
  <cols>
    <col min="1" max="1" width="15.7109375" bestFit="1" customWidth="1"/>
    <col min="2" max="2" width="13.85546875" bestFit="1" customWidth="1"/>
    <col min="3" max="3" width="17.7109375" bestFit="1" customWidth="1"/>
    <col min="4" max="4" width="11.28515625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>
        <v>1</v>
      </c>
      <c r="B3" s="1" t="s">
        <v>4</v>
      </c>
      <c r="C3" s="1">
        <v>78</v>
      </c>
      <c r="D3" s="1" t="str">
        <f>+IF(C3&gt;=40,"Pass","Fail")</f>
        <v>Pass</v>
      </c>
    </row>
    <row r="4" spans="1:4" x14ac:dyDescent="0.25">
      <c r="A4" s="1">
        <v>2</v>
      </c>
      <c r="B4" s="1" t="s">
        <v>5</v>
      </c>
      <c r="C4" s="1">
        <v>35</v>
      </c>
      <c r="D4" s="1" t="str">
        <f t="shared" ref="D4:D7" si="0">+IF(C4&gt;=40,"Pass","Fail")</f>
        <v>Fail</v>
      </c>
    </row>
    <row r="5" spans="1:4" x14ac:dyDescent="0.25">
      <c r="A5" s="1">
        <v>3</v>
      </c>
      <c r="B5" s="1" t="s">
        <v>6</v>
      </c>
      <c r="C5" s="1">
        <v>62</v>
      </c>
      <c r="D5" s="1" t="str">
        <f t="shared" si="0"/>
        <v>Pass</v>
      </c>
    </row>
    <row r="6" spans="1:4" x14ac:dyDescent="0.25">
      <c r="A6" s="1">
        <v>4</v>
      </c>
      <c r="B6" s="1" t="s">
        <v>7</v>
      </c>
      <c r="C6" s="1">
        <v>40</v>
      </c>
      <c r="D6" s="1" t="str">
        <f t="shared" si="0"/>
        <v>Pass</v>
      </c>
    </row>
    <row r="7" spans="1:4" x14ac:dyDescent="0.25">
      <c r="A7" s="1">
        <v>5</v>
      </c>
      <c r="B7" s="1" t="s">
        <v>8</v>
      </c>
      <c r="C7" s="1">
        <v>28</v>
      </c>
      <c r="D7" s="1" t="str">
        <f t="shared" si="0"/>
        <v>Fail</v>
      </c>
    </row>
    <row r="10" spans="1:4" x14ac:dyDescent="0.25">
      <c r="A10" s="1" t="s">
        <v>9</v>
      </c>
      <c r="B10" s="1" t="s">
        <v>10</v>
      </c>
      <c r="C10" s="1" t="s">
        <v>11</v>
      </c>
    </row>
    <row r="11" spans="1:4" x14ac:dyDescent="0.25">
      <c r="A11" s="1" t="s">
        <v>12</v>
      </c>
      <c r="B11" s="1">
        <v>28000</v>
      </c>
      <c r="C11" s="1" t="str">
        <f>+IF(B11&gt;=40000,"Bonus","No Bonus")</f>
        <v>No Bonus</v>
      </c>
    </row>
    <row r="12" spans="1:4" x14ac:dyDescent="0.25">
      <c r="A12" s="1" t="s">
        <v>13</v>
      </c>
      <c r="B12" s="1">
        <v>45000</v>
      </c>
      <c r="C12" s="1" t="str">
        <f t="shared" ref="C12:C14" si="1">+IF(B12&gt;=40000,"Bonus","No Bonus")</f>
        <v>Bonus</v>
      </c>
    </row>
    <row r="13" spans="1:4" x14ac:dyDescent="0.25">
      <c r="A13" s="1" t="s">
        <v>14</v>
      </c>
      <c r="B13" s="1">
        <v>52000</v>
      </c>
      <c r="C13" s="1" t="str">
        <f t="shared" si="1"/>
        <v>Bonus</v>
      </c>
    </row>
    <row r="14" spans="1:4" x14ac:dyDescent="0.25">
      <c r="A14" s="1" t="s">
        <v>15</v>
      </c>
      <c r="B14" s="1">
        <v>30000</v>
      </c>
      <c r="C14" s="1" t="str">
        <f t="shared" si="1"/>
        <v>No Bonus</v>
      </c>
    </row>
    <row r="16" spans="1:4" x14ac:dyDescent="0.25">
      <c r="A16" s="1" t="s">
        <v>1</v>
      </c>
      <c r="B16" s="1" t="s">
        <v>2</v>
      </c>
      <c r="C16" s="1" t="s">
        <v>16</v>
      </c>
    </row>
    <row r="17" spans="1:4" x14ac:dyDescent="0.25">
      <c r="A17" s="1" t="s">
        <v>4</v>
      </c>
      <c r="B17" s="1">
        <v>82</v>
      </c>
      <c r="C17" s="1" t="str">
        <f>+IF(B17&gt;=75,"A",IF(B17&gt;=60,"B",IF(B17&gt;=40,"C",IF(B17&lt;40,"Fail"))))</f>
        <v>A</v>
      </c>
    </row>
    <row r="18" spans="1:4" x14ac:dyDescent="0.25">
      <c r="A18" s="1" t="s">
        <v>5</v>
      </c>
      <c r="B18" s="1">
        <v>67</v>
      </c>
      <c r="C18" s="1" t="str">
        <f t="shared" ref="C18:C21" si="2">+IF(B18&gt;=75,"A",IF(B18&gt;=60,"B",IF(B18&gt;=40,"C",IF(B18&lt;40,"Fail"))))</f>
        <v>B</v>
      </c>
    </row>
    <row r="19" spans="1:4" x14ac:dyDescent="0.25">
      <c r="A19" s="1" t="s">
        <v>6</v>
      </c>
      <c r="B19" s="1">
        <v>45</v>
      </c>
      <c r="C19" s="1" t="str">
        <f t="shared" si="2"/>
        <v>C</v>
      </c>
    </row>
    <row r="20" spans="1:4" x14ac:dyDescent="0.25">
      <c r="A20" s="1" t="s">
        <v>7</v>
      </c>
      <c r="B20" s="1">
        <v>33</v>
      </c>
      <c r="C20" s="1" t="str">
        <f t="shared" si="2"/>
        <v>Fail</v>
      </c>
    </row>
    <row r="21" spans="1:4" x14ac:dyDescent="0.25">
      <c r="A21" s="1" t="s">
        <v>8</v>
      </c>
      <c r="B21" s="1">
        <v>90</v>
      </c>
      <c r="C21" s="1" t="str">
        <f t="shared" si="2"/>
        <v>A</v>
      </c>
    </row>
    <row r="23" spans="1:4" x14ac:dyDescent="0.25">
      <c r="A23" s="1" t="s">
        <v>17</v>
      </c>
      <c r="B23" s="1" t="s">
        <v>18</v>
      </c>
      <c r="C23" s="1" t="s">
        <v>19</v>
      </c>
      <c r="D23" s="1" t="s">
        <v>20</v>
      </c>
    </row>
    <row r="24" spans="1:4" x14ac:dyDescent="0.25">
      <c r="A24" s="1" t="s">
        <v>12</v>
      </c>
      <c r="B24" s="1">
        <v>25</v>
      </c>
      <c r="C24" s="1">
        <v>2</v>
      </c>
      <c r="D24" s="1" t="str">
        <f>+IF(AND(B24&gt;=21,C24&gt;1),"Eligible","Not Eligible")</f>
        <v>Eligible</v>
      </c>
    </row>
    <row r="25" spans="1:4" x14ac:dyDescent="0.25">
      <c r="A25" s="1" t="s">
        <v>13</v>
      </c>
      <c r="B25" s="1">
        <v>20</v>
      </c>
      <c r="C25" s="1">
        <v>1</v>
      </c>
      <c r="D25" s="1" t="str">
        <f t="shared" ref="D25:D27" si="3">+IF(AND(B25&gt;=21,C25&gt;1),"Eligible","Not Eligible")</f>
        <v>Not Eligible</v>
      </c>
    </row>
    <row r="26" spans="1:4" x14ac:dyDescent="0.25">
      <c r="A26" s="1" t="s">
        <v>14</v>
      </c>
      <c r="B26" s="1">
        <v>30</v>
      </c>
      <c r="C26" s="1">
        <v>5</v>
      </c>
      <c r="D26" s="1" t="str">
        <f t="shared" si="3"/>
        <v>Eligible</v>
      </c>
    </row>
    <row r="27" spans="1:4" x14ac:dyDescent="0.25">
      <c r="A27" s="1" t="s">
        <v>15</v>
      </c>
      <c r="B27" s="1">
        <v>22</v>
      </c>
      <c r="C27" s="1">
        <v>0</v>
      </c>
      <c r="D27" s="1" t="str">
        <f t="shared" si="3"/>
        <v>Not Eligible</v>
      </c>
    </row>
    <row r="30" spans="1:4" x14ac:dyDescent="0.25">
      <c r="A30" s="1" t="s">
        <v>1</v>
      </c>
      <c r="B30" s="1" t="s">
        <v>21</v>
      </c>
      <c r="C30" s="1" t="s">
        <v>22</v>
      </c>
      <c r="D30" s="1" t="s">
        <v>20</v>
      </c>
    </row>
    <row r="31" spans="1:4" x14ac:dyDescent="0.25">
      <c r="A31" s="1" t="s">
        <v>4</v>
      </c>
      <c r="B31" s="1">
        <v>85</v>
      </c>
      <c r="C31" s="1" t="s">
        <v>23</v>
      </c>
      <c r="D31" s="1" t="str">
        <f>+IF(AND(B31&gt;=75,C31="Yes"),"Eligible","Not Eligible")</f>
        <v>Eligible</v>
      </c>
    </row>
    <row r="32" spans="1:4" x14ac:dyDescent="0.25">
      <c r="A32" s="1" t="s">
        <v>5</v>
      </c>
      <c r="B32" s="1">
        <v>72</v>
      </c>
      <c r="C32" s="1" t="s">
        <v>23</v>
      </c>
      <c r="D32" s="1" t="str">
        <f t="shared" ref="D32:D34" si="4">+IF(AND(B32&gt;=75,C32="Yes"),"Eligible","Not Eligible")</f>
        <v>Not Eligible</v>
      </c>
    </row>
    <row r="33" spans="1:4" x14ac:dyDescent="0.25">
      <c r="A33" s="1" t="s">
        <v>6</v>
      </c>
      <c r="B33" s="1">
        <v>90</v>
      </c>
      <c r="C33" s="1" t="s">
        <v>24</v>
      </c>
      <c r="D33" s="1" t="str">
        <f t="shared" si="4"/>
        <v>Not Eligible</v>
      </c>
    </row>
    <row r="34" spans="1:4" x14ac:dyDescent="0.25">
      <c r="A34" s="1" t="s">
        <v>7</v>
      </c>
      <c r="B34" s="1">
        <v>80</v>
      </c>
      <c r="C34" s="1" t="s">
        <v>23</v>
      </c>
      <c r="D34" s="1" t="str">
        <f t="shared" si="4"/>
        <v>Eligible</v>
      </c>
    </row>
    <row r="36" spans="1:4" x14ac:dyDescent="0.25">
      <c r="A36" s="1" t="s">
        <v>25</v>
      </c>
      <c r="B36" s="1" t="s">
        <v>26</v>
      </c>
      <c r="C36" s="1" t="s">
        <v>27</v>
      </c>
      <c r="D36" s="1" t="s">
        <v>28</v>
      </c>
    </row>
    <row r="37" spans="1:4" x14ac:dyDescent="0.25">
      <c r="A37" s="1" t="s">
        <v>29</v>
      </c>
      <c r="B37" s="1">
        <v>9000</v>
      </c>
      <c r="C37" s="1" t="s">
        <v>24</v>
      </c>
      <c r="D37" s="1" t="str">
        <f>+IF(OR(B37&gt;=10000,C37="Yes"),"Allowed","Not Allowed")</f>
        <v>Not Allowed</v>
      </c>
    </row>
    <row r="38" spans="1:4" x14ac:dyDescent="0.25">
      <c r="A38" s="1" t="s">
        <v>30</v>
      </c>
      <c r="B38" s="1">
        <v>12000</v>
      </c>
      <c r="C38" s="1" t="s">
        <v>24</v>
      </c>
      <c r="D38" s="1" t="str">
        <f t="shared" ref="D38:D40" si="5">+IF(OR(B38&gt;=10000,C38="Yes"),"Allowed","Not Allowed")</f>
        <v>Allowed</v>
      </c>
    </row>
    <row r="39" spans="1:4" x14ac:dyDescent="0.25">
      <c r="A39" s="1" t="s">
        <v>6</v>
      </c>
      <c r="B39" s="1">
        <v>4000</v>
      </c>
      <c r="C39" s="1" t="s">
        <v>23</v>
      </c>
      <c r="D39" s="1" t="str">
        <f t="shared" si="5"/>
        <v>Allowed</v>
      </c>
    </row>
    <row r="40" spans="1:4" x14ac:dyDescent="0.25">
      <c r="A40" s="1" t="s">
        <v>31</v>
      </c>
      <c r="B40" s="1">
        <v>3000</v>
      </c>
      <c r="C40" s="1" t="s">
        <v>24</v>
      </c>
      <c r="D40" s="1" t="str">
        <f t="shared" si="5"/>
        <v>Not Allowed</v>
      </c>
    </row>
    <row r="42" spans="1:4" x14ac:dyDescent="0.25">
      <c r="A42" s="1" t="s">
        <v>32</v>
      </c>
      <c r="B42" s="1" t="s">
        <v>10</v>
      </c>
      <c r="C42" s="1" t="s">
        <v>33</v>
      </c>
      <c r="D42" s="1" t="s">
        <v>34</v>
      </c>
    </row>
    <row r="43" spans="1:4" x14ac:dyDescent="0.25">
      <c r="A43" s="1" t="s">
        <v>12</v>
      </c>
      <c r="B43" s="1">
        <v>35000</v>
      </c>
      <c r="C43" s="1">
        <v>720</v>
      </c>
      <c r="D43" s="1" t="str">
        <f>+IF(OR(B43&gt;=40000,C43&gt;=720),"Approved","Not Approved")</f>
        <v>Approved</v>
      </c>
    </row>
    <row r="44" spans="1:4" x14ac:dyDescent="0.25">
      <c r="A44" s="1" t="s">
        <v>13</v>
      </c>
      <c r="B44" s="1">
        <v>25000</v>
      </c>
      <c r="C44" s="1">
        <v>680</v>
      </c>
      <c r="D44" s="1" t="str">
        <f t="shared" ref="D44:D46" si="6">+IF(OR(B44&gt;=40000,C44&gt;=720),"Approved","Not Approved")</f>
        <v>Not Approved</v>
      </c>
    </row>
    <row r="45" spans="1:4" x14ac:dyDescent="0.25">
      <c r="A45" s="1" t="s">
        <v>14</v>
      </c>
      <c r="B45" s="1">
        <v>50000</v>
      </c>
      <c r="C45" s="1">
        <v>650</v>
      </c>
      <c r="D45" s="1" t="str">
        <f t="shared" si="6"/>
        <v>Approved</v>
      </c>
    </row>
    <row r="46" spans="1:4" x14ac:dyDescent="0.25">
      <c r="A46" s="1" t="s">
        <v>15</v>
      </c>
      <c r="B46" s="1">
        <v>20000</v>
      </c>
      <c r="C46" s="1">
        <v>600</v>
      </c>
      <c r="D46" s="1" t="str">
        <f t="shared" si="6"/>
        <v>Not Approved</v>
      </c>
    </row>
    <row r="48" spans="1:4" x14ac:dyDescent="0.25">
      <c r="A48" s="1" t="s">
        <v>17</v>
      </c>
      <c r="B48" s="1" t="s">
        <v>35</v>
      </c>
      <c r="C48" s="1" t="s">
        <v>36</v>
      </c>
    </row>
    <row r="49" spans="1:4" x14ac:dyDescent="0.25">
      <c r="A49" s="1" t="s">
        <v>4</v>
      </c>
      <c r="B49" s="1" t="b">
        <v>1</v>
      </c>
      <c r="C49" s="1" t="str">
        <f>+IF(NOT(B49),"Absent","Present")</f>
        <v>Present</v>
      </c>
    </row>
    <row r="50" spans="1:4" x14ac:dyDescent="0.25">
      <c r="A50" s="1" t="s">
        <v>5</v>
      </c>
      <c r="B50" s="1" t="b">
        <v>0</v>
      </c>
      <c r="C50" s="1" t="str">
        <f t="shared" ref="C50:C52" si="7">+IF(NOT(B50),"Absent","Present")</f>
        <v>Absent</v>
      </c>
    </row>
    <row r="51" spans="1:4" x14ac:dyDescent="0.25">
      <c r="A51" s="1" t="s">
        <v>6</v>
      </c>
      <c r="B51" s="1" t="b">
        <v>1</v>
      </c>
      <c r="C51" s="1" t="str">
        <f t="shared" si="7"/>
        <v>Present</v>
      </c>
    </row>
    <row r="52" spans="1:4" x14ac:dyDescent="0.25">
      <c r="A52" s="1" t="s">
        <v>7</v>
      </c>
      <c r="B52" s="1" t="b">
        <v>0</v>
      </c>
      <c r="C52" s="1" t="str">
        <f t="shared" si="7"/>
        <v>Absent</v>
      </c>
    </row>
    <row r="54" spans="1:4" x14ac:dyDescent="0.25">
      <c r="A54" s="1" t="s">
        <v>37</v>
      </c>
      <c r="B54" s="1" t="s">
        <v>38</v>
      </c>
      <c r="C54" s="1" t="s">
        <v>3</v>
      </c>
    </row>
    <row r="55" spans="1:4" x14ac:dyDescent="0.25">
      <c r="A55" s="1">
        <v>10</v>
      </c>
      <c r="B55" s="1">
        <v>2</v>
      </c>
      <c r="C55" s="1">
        <f>+IFERROR(A55/B55,"0")</f>
        <v>5</v>
      </c>
    </row>
    <row r="56" spans="1:4" x14ac:dyDescent="0.25">
      <c r="A56" s="1">
        <v>15</v>
      </c>
      <c r="B56" s="1">
        <v>0</v>
      </c>
      <c r="C56" s="1" t="str">
        <f t="shared" ref="C56:C58" si="8">+IFERROR(A56/B56,"0")</f>
        <v>0</v>
      </c>
    </row>
    <row r="57" spans="1:4" x14ac:dyDescent="0.25">
      <c r="A57" s="1">
        <v>20</v>
      </c>
      <c r="B57" s="1">
        <v>5</v>
      </c>
      <c r="C57" s="1">
        <f t="shared" si="8"/>
        <v>4</v>
      </c>
    </row>
    <row r="58" spans="1:4" x14ac:dyDescent="0.25">
      <c r="A58" s="1">
        <v>8</v>
      </c>
      <c r="B58" s="1">
        <v>0</v>
      </c>
      <c r="C58" s="1" t="str">
        <f t="shared" si="8"/>
        <v>0</v>
      </c>
    </row>
    <row r="60" spans="1:4" x14ac:dyDescent="0.25">
      <c r="A60" s="1" t="s">
        <v>9</v>
      </c>
      <c r="B60" s="1" t="s">
        <v>39</v>
      </c>
      <c r="C60" s="1" t="s">
        <v>21</v>
      </c>
      <c r="D60" s="1" t="s">
        <v>40</v>
      </c>
    </row>
    <row r="61" spans="1:4" x14ac:dyDescent="0.25">
      <c r="A61" s="1" t="s">
        <v>41</v>
      </c>
      <c r="B61" s="1">
        <v>45</v>
      </c>
      <c r="C61" s="1">
        <v>92</v>
      </c>
      <c r="D61" s="1" t="str">
        <f>+IF(AND(C61&gt;=90,B61&gt;=40),"Excellent,(C61&gt;=80,""Good")</f>
        <v>Excellent,(C61&gt;=80,"Good</v>
      </c>
    </row>
    <row r="62" spans="1:4" x14ac:dyDescent="0.25">
      <c r="A62" s="1" t="s">
        <v>42</v>
      </c>
      <c r="B62" s="1">
        <v>38</v>
      </c>
      <c r="C62" s="1">
        <v>85</v>
      </c>
      <c r="D62" s="1"/>
    </row>
    <row r="63" spans="1:4" x14ac:dyDescent="0.25">
      <c r="A63" s="1" t="s">
        <v>43</v>
      </c>
      <c r="B63" s="1">
        <v>50</v>
      </c>
      <c r="C63" s="1">
        <v>95</v>
      </c>
      <c r="D63" s="1"/>
    </row>
    <row r="64" spans="1:4" x14ac:dyDescent="0.25">
      <c r="A64" s="1" t="s">
        <v>44</v>
      </c>
      <c r="B64" s="1">
        <v>30</v>
      </c>
      <c r="C64" s="1">
        <v>70</v>
      </c>
      <c r="D6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D200-295B-400F-B3A5-69FF7739EE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2026-01-31T14:15:31Z</dcterms:created>
  <dcterms:modified xsi:type="dcterms:W3CDTF">2026-02-01T05:31:42Z</dcterms:modified>
</cp:coreProperties>
</file>