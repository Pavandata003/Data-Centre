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Pratics task\"/>
    </mc:Choice>
  </mc:AlternateContent>
  <xr:revisionPtr revIDLastSave="0" documentId="13_ncr:1_{FF889E2C-9DDA-4AF4-9B31-B3933B21631E}" xr6:coauthVersionLast="47" xr6:coauthVersionMax="47" xr10:uidLastSave="{00000000-0000-0000-0000-000000000000}"/>
  <bookViews>
    <workbookView xWindow="-120" yWindow="-120" windowWidth="29040" windowHeight="15720" activeTab="10" xr2:uid="{9993E419-68D2-4C72-916C-FAB6957DDB46}"/>
  </bookViews>
  <sheets>
    <sheet name="task-1" sheetId="1" r:id="rId1"/>
    <sheet name="task-2" sheetId="2" r:id="rId2"/>
    <sheet name="task-3" sheetId="3" r:id="rId3"/>
    <sheet name="task-4" sheetId="4" r:id="rId4"/>
    <sheet name="task-5" sheetId="5" r:id="rId5"/>
    <sheet name="task-6" sheetId="6" r:id="rId6"/>
    <sheet name="task-7" sheetId="7" r:id="rId7"/>
    <sheet name="task-8" sheetId="8" r:id="rId8"/>
    <sheet name="task-9" sheetId="9" r:id="rId9"/>
    <sheet name="task-10" sheetId="10" r:id="rId10"/>
    <sheet name="Sheet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11" l="1"/>
  <c r="A3" i="11"/>
  <c r="A4" i="11"/>
  <c r="A5" i="11"/>
  <c r="A6" i="11"/>
  <c r="A7" i="11"/>
  <c r="A8" i="11"/>
  <c r="A9" i="11"/>
  <c r="A10" i="11"/>
  <c r="A1" i="11"/>
  <c r="B9" i="7"/>
  <c r="B8" i="7"/>
  <c r="H3" i="6"/>
  <c r="H4" i="6"/>
  <c r="H5" i="6"/>
  <c r="H2" i="6"/>
  <c r="G3" i="6"/>
  <c r="G4" i="6"/>
  <c r="G5" i="6"/>
  <c r="G2" i="6"/>
  <c r="A9" i="5"/>
  <c r="C8" i="5"/>
  <c r="D6" i="5"/>
  <c r="D4" i="5"/>
  <c r="D2" i="5"/>
  <c r="C8" i="4"/>
  <c r="C7" i="4"/>
  <c r="G3" i="3"/>
  <c r="G4" i="3"/>
  <c r="G5" i="3"/>
  <c r="G6" i="3"/>
  <c r="G2" i="3"/>
  <c r="F3" i="3"/>
  <c r="F4" i="3"/>
  <c r="F5" i="3"/>
  <c r="F6" i="3"/>
  <c r="F2" i="3"/>
</calcChain>
</file>

<file path=xl/sharedStrings.xml><?xml version="1.0" encoding="utf-8"?>
<sst xmlns="http://schemas.openxmlformats.org/spreadsheetml/2006/main" count="186" uniqueCount="132">
  <si>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</si>
  <si>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</si>
  <si>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</si>
  <si>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</si>
  <si>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</si>
  <si>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</si>
  <si>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</si>
  <si>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</si>
  <si>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</si>
  <si>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</si>
  <si>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</si>
  <si>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</si>
  <si>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</si>
  <si>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</si>
  <si>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</si>
  <si>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</si>
  <si>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</si>
  <si>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</si>
  <si>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</si>
  <si>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</si>
  <si>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</si>
  <si>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</si>
  <si>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</si>
  <si>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</si>
  <si>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</si>
  <si>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</si>
  <si>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</si>
  <si>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</si>
  <si>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</si>
  <si>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</si>
  <si>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</si>
  <si>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</si>
  <si>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</si>
  <si>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</si>
  <si>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Nehal Shah</t>
  </si>
  <si>
    <t>Ankit Vora</t>
  </si>
  <si>
    <t>Vraj Thakur</t>
  </si>
  <si>
    <t>Sanjay Singhania</t>
  </si>
  <si>
    <t>Pavan Shah</t>
  </si>
  <si>
    <t>Hetvi Joshi</t>
  </si>
  <si>
    <t>Jiya Patel</t>
  </si>
  <si>
    <t>OM Thakar</t>
  </si>
  <si>
    <t>Jyoti Patel</t>
  </si>
  <si>
    <t xml:space="preserve">Sivam Soni </t>
  </si>
  <si>
    <t>Jay Shah</t>
  </si>
  <si>
    <t>Hemant Mishra</t>
  </si>
  <si>
    <t>Viral Dathiya</t>
  </si>
  <si>
    <t>Piyush Goyal</t>
  </si>
  <si>
    <t>Prakash Shah</t>
  </si>
  <si>
    <t>Supply Chain</t>
  </si>
  <si>
    <t>Marketing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</si>
  <si>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</si>
  <si>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</si>
  <si>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</si>
  <si>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</si>
  <si>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</si>
  <si>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</si>
  <si>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</si>
  <si>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</si>
  <si>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</si>
  <si>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</si>
  <si>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</si>
  <si>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</si>
  <si>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</si>
  <si>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</si>
  <si>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</si>
  <si>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</si>
  <si>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</si>
  <si>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</si>
  <si>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</si>
  <si>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</si>
  <si>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</si>
  <si>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</si>
  <si>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</si>
  <si>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</si>
  <si>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</si>
  <si>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</si>
  <si>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</si>
  <si>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</si>
  <si>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Total</t>
  </si>
  <si>
    <t>Invoice No</t>
  </si>
  <si>
    <t>Date</t>
  </si>
  <si>
    <t>INV001</t>
  </si>
  <si>
    <t>INV002</t>
  </si>
  <si>
    <t>INV003</t>
  </si>
  <si>
    <t>INV004</t>
  </si>
  <si>
    <t>INV005</t>
  </si>
  <si>
    <t>Total Sales</t>
  </si>
  <si>
    <t>Average Sales</t>
  </si>
  <si>
    <t>Employee Name</t>
  </si>
  <si>
    <t>Suresh</t>
  </si>
  <si>
    <t>Meena</t>
  </si>
  <si>
    <t>Karan</t>
  </si>
  <si>
    <t>Ritu</t>
  </si>
  <si>
    <t>Aman</t>
  </si>
  <si>
    <t>Neel</t>
  </si>
  <si>
    <t>Average Salary</t>
  </si>
  <si>
    <t>Count of Employee</t>
  </si>
  <si>
    <t>Day 1</t>
  </si>
  <si>
    <t>Day 2</t>
  </si>
  <si>
    <t>Day 3</t>
  </si>
  <si>
    <t>Day 4</t>
  </si>
  <si>
    <t>Day 5</t>
  </si>
  <si>
    <t>P</t>
  </si>
  <si>
    <t>A</t>
  </si>
  <si>
    <t>Present Day</t>
  </si>
  <si>
    <t>Abesent Day</t>
  </si>
  <si>
    <t>Order ID</t>
  </si>
  <si>
    <t>O101</t>
  </si>
  <si>
    <t>O102</t>
  </si>
  <si>
    <t>O103</t>
  </si>
  <si>
    <t>O104</t>
  </si>
  <si>
    <t>O105</t>
  </si>
  <si>
    <t>O106</t>
  </si>
  <si>
    <t>Count sales above 10000</t>
  </si>
  <si>
    <t>Count sales below 5000</t>
  </si>
  <si>
    <t>Product</t>
  </si>
  <si>
    <t>Mobile</t>
  </si>
  <si>
    <t>Headphones</t>
  </si>
  <si>
    <t>Laptop</t>
  </si>
  <si>
    <t>Keyboard</t>
  </si>
  <si>
    <t>Tablet</t>
  </si>
  <si>
    <t>Marks</t>
  </si>
  <si>
    <t>Bharti</t>
  </si>
  <si>
    <t>Chetan</t>
  </si>
  <si>
    <t>Deepa</t>
  </si>
  <si>
    <t>Farhan</t>
  </si>
  <si>
    <t>Rohit</t>
  </si>
  <si>
    <t>Simran</t>
  </si>
  <si>
    <t>Vijay</t>
  </si>
  <si>
    <t>Nisha</t>
  </si>
  <si>
    <t>Mohan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</si>
</sst>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&quot;₹&quot;\ #,##0.00"/>
    <numFmt numFmtId="170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2328"/>
      <name val="Segoe UI"/>
      <family val="2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169" fontId="0" fillId="0" borderId="1" xfId="0" applyNumberFormat="1" applyBorder="1"/>
    <xf numFmtId="170" fontId="0" fillId="0" borderId="1" xfId="0" applyNumberFormat="1" applyBorder="1"/>
    <xf numFmtId="0" fontId="2" fillId="0" borderId="1" xfId="0" applyFont="1" applyBorder="1" applyAlignment="1">
      <alignment horizontal="center"/>
    </xf>
    <xf numFmtId="14" fontId="0" fillId="0" borderId="0" xfId="0" applyNumberFormat="1"/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10" fontId="0" fillId="0" borderId="1" xfId="0" applyNumberFormat="1" applyBorder="1"/>
    <xf numFmtId="0" fontId="1" fillId="2" borderId="1" xfId="1" applyBorder="1"/>
    <xf numFmtId="0" fontId="2" fillId="0" borderId="1" xfId="0" applyFont="1" applyBorder="1" applyAlignment="1">
      <alignment horizontal="center"/>
    </xf>
    <xf numFmtId="14" fontId="0" fillId="0" borderId="1" xfId="0" applyNumberFormat="1" applyBorder="1"/>
    <xf numFmtId="169" fontId="2" fillId="0" borderId="1" xfId="0" applyNumberFormat="1" applyFont="1" applyBorder="1" applyAlignment="1">
      <alignment horizontal="center" vertical="center"/>
    </xf>
    <xf numFmtId="169" fontId="2" fillId="0" borderId="1" xfId="0" applyNumberFormat="1" applyFont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</cellXfs>
  <cellStyles count="2">
    <cellStyle name="40% - Accent2" xfId="1" builtinId="35"/>
    <cellStyle name="Normal" xfId="0" builtinId="0"/>
  </cellStyles>
  <dxfs count="19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1</xdr:rowOff>
    </xdr:from>
    <xdr:to>
      <xdr:col>15</xdr:col>
      <xdr:colOff>581797</xdr:colOff>
      <xdr:row>18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8B2D9E-8C97-52A9-EE56-640BC1257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4025" y="1"/>
          <a:ext cx="5534797" cy="3562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123825</xdr:colOff>
      <xdr:row>0</xdr:row>
      <xdr:rowOff>66675</xdr:rowOff>
    </xdr:from>
    <xdr:to>
      <xdr:col>17</xdr:col>
      <xdr:colOff>834</xdr:colOff>
      <xdr:row>17</xdr:row>
      <xdr:rowOff>181596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BF2DB9-B3C4-8D35-A016-4D789CD6B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3975" y="66675"/>
          <a:ext cx="5973009" cy="44487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19</xdr:col>
      <xdr:colOff>581957</xdr:colOff>
      <xdr:row>24</xdr:row>
      <xdr:rowOff>19691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55CD4-5EA3-81F5-4264-EFC49504D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900" y="0"/>
          <a:ext cx="6677957" cy="45916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16</xdr:col>
      <xdr:colOff>353410</xdr:colOff>
      <xdr:row>24</xdr:row>
      <xdr:rowOff>19691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43D55-E18C-E0B8-87B9-B078AE4C9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5675" y="0"/>
          <a:ext cx="7059010" cy="45916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15</xdr:col>
      <xdr:colOff>381877</xdr:colOff>
      <xdr:row>26</xdr:row>
      <xdr:rowOff>48323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12FD4C-6E04-F497-E53B-82265D487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8100" y="0"/>
          <a:ext cx="6287377" cy="50013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17</xdr:col>
      <xdr:colOff>524629</xdr:colOff>
      <xdr:row>20</xdr:row>
      <xdr:rowOff>19584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EC4485-4817-EF83-2061-548F4494E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2675" y="0"/>
          <a:ext cx="5401429" cy="382958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10</xdr:col>
      <xdr:colOff>543511</xdr:colOff>
      <xdr:row>22</xdr:row>
      <xdr:rowOff>19707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118DB3-8184-975B-252D-8368BB068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7075" y="0"/>
          <a:ext cx="4201111" cy="47060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11</xdr:col>
      <xdr:colOff>429280</xdr:colOff>
      <xdr:row>23</xdr:row>
      <xdr:rowOff>19664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0A8668-7D67-0EFE-6653-81C3F7F34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0"/>
          <a:ext cx="4696480" cy="440116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13</xdr:col>
      <xdr:colOff>48227</xdr:colOff>
      <xdr:row>22</xdr:row>
      <xdr:rowOff>133954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E01245-8AF0-990C-5640-C2851C967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0"/>
          <a:ext cx="4315427" cy="43249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14</xdr:col>
      <xdr:colOff>372293</xdr:colOff>
      <xdr:row>24</xdr:row>
      <xdr:rowOff>19691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481A57-7046-D2C6-DE3C-A4E867F56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5" y="0"/>
          <a:ext cx="5858693" cy="45916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D9CD-CF89-47FD-804F-BF8CDD3EDCF8}">
  <dimension ref="A1:O21"/>
  <sheetViews>
    <sheetView workbookViewId="0">
      <selection activeCell="D24" sqref="D24"/>
    </sheetView>
  </sheetViews>
  <sheetFormatPr defaultColWidth="9.28515625" defaultRowHeight="15" x14ac:dyDescent="0.25"/>
  <cols>
    <col min="1" max="1" width="12.140625" customWidth="1"/>
    <col min="2" max="2" width="12.28515625" bestFit="1" customWidth="1"/>
    <col min="3" max="3" width="11.7109375" bestFit="1" customWidth="1"/>
    <col min="4" max="4" width="10.7109375" bestFit="1" customWidth="1"/>
    <col min="5" max="5" width="17.5703125" bestFit="1" customWidth="1"/>
  </cols>
  <sheetData>
    <row r="1" spans="1:1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H1" s="9"/>
      <c r="I1" s="9"/>
      <c r="J1" s="9"/>
      <c r="K1" s="9"/>
      <c r="L1" s="9"/>
      <c r="M1" s="9"/>
      <c r="N1" s="9"/>
      <c r="O1" s="9"/>
    </row>
    <row r="2" spans="1:15" x14ac:dyDescent="0.25">
      <c r="A2" s="3" t="s">
        <v>5</v>
      </c>
      <c r="B2" s="3" t="s">
        <v>6</v>
      </c>
      <c r="C2" s="3" t="s">
        <v>7</v>
      </c>
      <c r="D2" s="4">
        <v>32000</v>
      </c>
      <c r="E2" s="5">
        <v>44573</v>
      </c>
      <c r="H2" s="9"/>
      <c r="I2" s="9"/>
      <c r="J2" s="9"/>
      <c r="K2" s="9"/>
      <c r="L2" s="9"/>
      <c r="M2" s="9"/>
      <c r="N2" s="9"/>
      <c r="O2" s="9"/>
    </row>
    <row r="3" spans="1:15" x14ac:dyDescent="0.25">
      <c r="A3" s="3" t="s">
        <v>8</v>
      </c>
      <c r="B3" s="3" t="s">
        <v>9</v>
      </c>
      <c r="C3" s="3" t="s">
        <v>10</v>
      </c>
      <c r="D3" s="4">
        <v>45000</v>
      </c>
      <c r="E3" s="5">
        <v>44260</v>
      </c>
      <c r="H3" s="9"/>
      <c r="I3" s="9"/>
      <c r="J3" s="9"/>
      <c r="K3" s="9"/>
      <c r="L3" s="9"/>
      <c r="M3" s="9"/>
      <c r="N3" s="9"/>
      <c r="O3" s="9"/>
    </row>
    <row r="4" spans="1:15" x14ac:dyDescent="0.25">
      <c r="A4" s="3" t="s">
        <v>11</v>
      </c>
      <c r="B4" s="3" t="s">
        <v>12</v>
      </c>
      <c r="C4" s="3" t="s">
        <v>13</v>
      </c>
      <c r="D4" s="4">
        <v>38000</v>
      </c>
      <c r="E4" s="5">
        <v>44030</v>
      </c>
      <c r="H4" s="9"/>
      <c r="I4" s="9"/>
      <c r="J4" s="9"/>
      <c r="K4" s="9"/>
      <c r="L4" s="9"/>
      <c r="M4" s="9"/>
      <c r="N4" s="9"/>
      <c r="O4" s="9"/>
    </row>
    <row r="5" spans="1:15" x14ac:dyDescent="0.25">
      <c r="A5" s="3" t="s">
        <v>14</v>
      </c>
      <c r="B5" s="3" t="s">
        <v>15</v>
      </c>
      <c r="C5" s="3" t="s">
        <v>10</v>
      </c>
      <c r="D5" s="4">
        <v>52000</v>
      </c>
      <c r="E5" s="5">
        <v>43779</v>
      </c>
      <c r="H5" s="9"/>
      <c r="I5" s="9"/>
      <c r="J5" s="9"/>
      <c r="K5" s="9"/>
      <c r="L5" s="9"/>
      <c r="M5" s="9"/>
      <c r="N5" s="9"/>
      <c r="O5" s="9"/>
    </row>
    <row r="6" spans="1:15" x14ac:dyDescent="0.25">
      <c r="A6" s="3" t="s">
        <v>16</v>
      </c>
      <c r="B6" s="3" t="s">
        <v>17</v>
      </c>
      <c r="C6" s="3" t="s">
        <v>18</v>
      </c>
      <c r="D6" s="4">
        <v>30000</v>
      </c>
      <c r="E6" s="5">
        <v>45102</v>
      </c>
      <c r="H6" s="9"/>
      <c r="I6" s="9"/>
      <c r="J6" s="9"/>
      <c r="K6" s="9"/>
      <c r="L6" s="9"/>
      <c r="M6" s="9"/>
      <c r="N6" s="9"/>
      <c r="O6" s="9"/>
    </row>
    <row r="7" spans="1:15" x14ac:dyDescent="0.25">
      <c r="A7" s="3" t="s">
        <v>19</v>
      </c>
      <c r="B7" s="3" t="s">
        <v>34</v>
      </c>
      <c r="C7" s="3" t="s">
        <v>49</v>
      </c>
      <c r="D7" s="4">
        <v>45000</v>
      </c>
      <c r="E7" s="5">
        <v>44030</v>
      </c>
      <c r="H7" s="9"/>
      <c r="I7" s="9"/>
      <c r="J7" s="9"/>
      <c r="K7" s="9"/>
      <c r="L7" s="9"/>
      <c r="M7" s="9"/>
      <c r="N7" s="9"/>
      <c r="O7" s="9"/>
    </row>
    <row r="8" spans="1:15" x14ac:dyDescent="0.25">
      <c r="A8" s="3" t="s">
        <v>20</v>
      </c>
      <c r="B8" s="3" t="s">
        <v>35</v>
      </c>
      <c r="C8" s="3" t="s">
        <v>50</v>
      </c>
      <c r="D8" s="4">
        <v>50000</v>
      </c>
      <c r="E8" s="5">
        <v>43779</v>
      </c>
      <c r="H8" s="9"/>
      <c r="I8" s="9"/>
      <c r="J8" s="9"/>
      <c r="K8" s="9"/>
      <c r="L8" s="9"/>
      <c r="M8" s="9"/>
      <c r="N8" s="9"/>
      <c r="O8" s="9"/>
    </row>
    <row r="9" spans="1:15" x14ac:dyDescent="0.25">
      <c r="A9" s="3" t="s">
        <v>21</v>
      </c>
      <c r="B9" s="3" t="s">
        <v>36</v>
      </c>
      <c r="C9" s="3" t="s">
        <v>10</v>
      </c>
      <c r="D9" s="4">
        <v>60000</v>
      </c>
      <c r="E9" s="5">
        <v>43414</v>
      </c>
      <c r="H9" s="9"/>
      <c r="I9" s="9"/>
      <c r="J9" s="9"/>
      <c r="K9" s="9"/>
      <c r="L9" s="9"/>
      <c r="M9" s="9"/>
      <c r="N9" s="9"/>
      <c r="O9" s="9"/>
    </row>
    <row r="10" spans="1:15" x14ac:dyDescent="0.25">
      <c r="A10" s="3" t="s">
        <v>22</v>
      </c>
      <c r="B10" s="3" t="s">
        <v>37</v>
      </c>
      <c r="C10" s="3" t="s">
        <v>13</v>
      </c>
      <c r="D10" s="4">
        <v>75000</v>
      </c>
      <c r="E10" s="5">
        <v>45303</v>
      </c>
      <c r="H10" s="9"/>
      <c r="I10" s="9"/>
      <c r="J10" s="9"/>
      <c r="K10" s="9"/>
      <c r="L10" s="9"/>
      <c r="M10" s="9"/>
      <c r="N10" s="9"/>
      <c r="O10" s="9"/>
    </row>
    <row r="11" spans="1:15" x14ac:dyDescent="0.25">
      <c r="A11" s="3" t="s">
        <v>23</v>
      </c>
      <c r="B11" s="3" t="s">
        <v>38</v>
      </c>
      <c r="C11" s="3" t="s">
        <v>18</v>
      </c>
      <c r="D11" s="4">
        <v>22000</v>
      </c>
      <c r="E11" s="5">
        <v>46113</v>
      </c>
      <c r="H11" s="9"/>
      <c r="I11" s="9"/>
      <c r="J11" s="9"/>
      <c r="K11" s="9"/>
      <c r="L11" s="9"/>
      <c r="M11" s="9"/>
      <c r="N11" s="9"/>
      <c r="O11" s="9"/>
    </row>
    <row r="12" spans="1:15" x14ac:dyDescent="0.25">
      <c r="A12" s="3" t="s">
        <v>24</v>
      </c>
      <c r="B12" s="3" t="s">
        <v>39</v>
      </c>
      <c r="C12" s="3" t="s">
        <v>7</v>
      </c>
      <c r="D12" s="4">
        <v>25000</v>
      </c>
      <c r="E12" s="5">
        <v>45781</v>
      </c>
      <c r="H12" s="9"/>
      <c r="I12" s="9"/>
      <c r="J12" s="9"/>
      <c r="K12" s="9"/>
      <c r="L12" s="9"/>
      <c r="M12" s="9"/>
      <c r="N12" s="9"/>
      <c r="O12" s="9"/>
    </row>
    <row r="13" spans="1:15" x14ac:dyDescent="0.25">
      <c r="A13" s="3" t="s">
        <v>25</v>
      </c>
      <c r="B13" s="3" t="s">
        <v>40</v>
      </c>
      <c r="C13" s="3" t="s">
        <v>10</v>
      </c>
      <c r="D13" s="4">
        <v>67000</v>
      </c>
      <c r="E13" s="5">
        <v>44685</v>
      </c>
      <c r="H13" s="9"/>
      <c r="I13" s="9"/>
      <c r="J13" s="9"/>
      <c r="K13" s="9"/>
      <c r="L13" s="9"/>
      <c r="M13" s="9"/>
      <c r="N13" s="9"/>
      <c r="O13" s="9"/>
    </row>
    <row r="14" spans="1:15" x14ac:dyDescent="0.25">
      <c r="A14" s="3" t="s">
        <v>26</v>
      </c>
      <c r="B14" s="3" t="s">
        <v>41</v>
      </c>
      <c r="C14" s="3" t="s">
        <v>13</v>
      </c>
      <c r="D14" s="4">
        <v>51000</v>
      </c>
      <c r="E14" s="5">
        <v>44030</v>
      </c>
      <c r="H14" s="9"/>
      <c r="I14" s="9"/>
      <c r="J14" s="9"/>
      <c r="K14" s="9"/>
      <c r="L14" s="9"/>
      <c r="M14" s="9"/>
      <c r="N14" s="9"/>
      <c r="O14" s="9"/>
    </row>
    <row r="15" spans="1:15" x14ac:dyDescent="0.25">
      <c r="A15" s="3" t="s">
        <v>27</v>
      </c>
      <c r="B15" s="3" t="s">
        <v>42</v>
      </c>
      <c r="C15" s="3" t="s">
        <v>10</v>
      </c>
      <c r="D15" s="4">
        <v>55000</v>
      </c>
      <c r="E15" s="5">
        <v>43779</v>
      </c>
      <c r="H15" s="9"/>
      <c r="I15" s="9"/>
      <c r="J15" s="9"/>
      <c r="K15" s="9"/>
      <c r="L15" s="9"/>
      <c r="M15" s="9"/>
      <c r="N15" s="9"/>
      <c r="O15" s="9"/>
    </row>
    <row r="16" spans="1:15" x14ac:dyDescent="0.25">
      <c r="A16" s="3" t="s">
        <v>28</v>
      </c>
      <c r="B16" s="3" t="s">
        <v>43</v>
      </c>
      <c r="C16" s="3" t="s">
        <v>18</v>
      </c>
      <c r="D16" s="4">
        <v>45000</v>
      </c>
      <c r="E16" s="5">
        <v>45102</v>
      </c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3" t="s">
        <v>29</v>
      </c>
      <c r="B17" s="3" t="s">
        <v>44</v>
      </c>
      <c r="C17" s="3" t="s">
        <v>7</v>
      </c>
      <c r="D17" s="4">
        <v>50000</v>
      </c>
      <c r="E17" s="5">
        <v>44030</v>
      </c>
      <c r="H17" s="9"/>
      <c r="I17" s="9"/>
      <c r="J17" s="9"/>
      <c r="K17" s="9"/>
      <c r="L17" s="9"/>
      <c r="M17" s="9"/>
      <c r="N17" s="9"/>
      <c r="O17" s="9"/>
    </row>
    <row r="18" spans="1:15" x14ac:dyDescent="0.25">
      <c r="A18" s="3" t="s">
        <v>30</v>
      </c>
      <c r="B18" s="3" t="s">
        <v>45</v>
      </c>
      <c r="C18" s="3" t="s">
        <v>10</v>
      </c>
      <c r="D18" s="4">
        <v>45000</v>
      </c>
      <c r="E18" s="5">
        <v>43779</v>
      </c>
      <c r="H18" s="9"/>
      <c r="I18" s="9"/>
      <c r="J18" s="9"/>
      <c r="K18" s="9"/>
      <c r="L18" s="9"/>
      <c r="M18" s="9"/>
      <c r="N18" s="9"/>
      <c r="O18" s="9"/>
    </row>
    <row r="19" spans="1:15" x14ac:dyDescent="0.25">
      <c r="A19" s="3" t="s">
        <v>31</v>
      </c>
      <c r="B19" s="3" t="s">
        <v>46</v>
      </c>
      <c r="C19" s="3" t="s">
        <v>13</v>
      </c>
      <c r="D19" s="4">
        <v>50000</v>
      </c>
      <c r="E19" s="5">
        <v>43414</v>
      </c>
      <c r="H19" s="9"/>
      <c r="I19" s="9"/>
      <c r="J19" s="9"/>
      <c r="K19" s="9"/>
      <c r="L19" s="9"/>
      <c r="M19" s="9"/>
      <c r="N19" s="9"/>
      <c r="O19" s="9"/>
    </row>
    <row r="20" spans="1:15" x14ac:dyDescent="0.25">
      <c r="A20" s="3" t="s">
        <v>32</v>
      </c>
      <c r="B20" s="3" t="s">
        <v>47</v>
      </c>
      <c r="C20" s="3" t="s">
        <v>10</v>
      </c>
      <c r="D20" s="4">
        <v>60000</v>
      </c>
      <c r="E20" s="5">
        <v>44603</v>
      </c>
      <c r="H20" s="9"/>
      <c r="I20" s="9"/>
      <c r="J20" s="9"/>
      <c r="K20" s="9"/>
      <c r="L20" s="9"/>
      <c r="M20" s="9"/>
      <c r="N20" s="9"/>
      <c r="O20" s="9"/>
    </row>
    <row r="21" spans="1:15" x14ac:dyDescent="0.25">
      <c r="A21" s="3" t="s">
        <v>33</v>
      </c>
      <c r="B21" s="3" t="s">
        <v>48</v>
      </c>
      <c r="C21" s="3" t="s">
        <v>18</v>
      </c>
      <c r="D21" s="4">
        <v>75000</v>
      </c>
      <c r="E21" s="5">
        <v>45710</v>
      </c>
    </row>
  </sheetData>
  <mergeCells count="1">
    <mergeCell ref="H1:O20"/>
  </mergeCells>
  <phoneticPr fontId="4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94E4-F078-4EC9-A8D2-8CB0679A3BCC}">
  <dimension ref="A1:D6"/>
  <sheetViews>
    <sheetView workbookViewId="0">
      <selection activeCell="H1" sqref="H1"/>
    </sheetView>
  </sheetViews>
  <sheetFormatPr defaultRowHeight="15" x14ac:dyDescent="0.25"/>
  <cols>
    <col min="1" max="1" width="15.5703125" customWidth="1"/>
    <col min="2" max="2" width="7.140625" bestFit="1" customWidth="1"/>
    <col min="3" max="3" width="13.28515625" bestFit="1" customWidth="1"/>
    <col min="4" max="4" width="11.7109375" bestFit="1" customWidth="1"/>
  </cols>
  <sheetData>
    <row r="1" spans="1:4" ht="26.25" x14ac:dyDescent="0.4">
      <c r="A1" s="10" t="s">
        <v>67</v>
      </c>
      <c r="B1" s="10"/>
      <c r="C1" s="10"/>
      <c r="D1" s="10"/>
    </row>
    <row r="2" spans="1:4" x14ac:dyDescent="0.25">
      <c r="A2" s="8" t="s">
        <v>51</v>
      </c>
      <c r="B2" s="8" t="s">
        <v>52</v>
      </c>
      <c r="C2" s="8" t="s">
        <v>53</v>
      </c>
      <c r="D2" s="8" t="s">
        <v>54</v>
      </c>
    </row>
    <row r="3" spans="1:4" ht="30" x14ac:dyDescent="0.25">
      <c r="A3" s="11" t="s">
        <v>55</v>
      </c>
      <c r="B3" s="3" t="s">
        <v>56</v>
      </c>
      <c r="C3" s="4">
        <v>45000</v>
      </c>
      <c r="D3" s="3" t="s">
        <v>57</v>
      </c>
    </row>
    <row r="4" spans="1:4" ht="30" x14ac:dyDescent="0.25">
      <c r="A4" s="11" t="s">
        <v>58</v>
      </c>
      <c r="B4" s="3" t="s">
        <v>59</v>
      </c>
      <c r="C4" s="4">
        <v>1200</v>
      </c>
      <c r="D4" s="3" t="s">
        <v>60</v>
      </c>
    </row>
    <row r="5" spans="1:4" ht="30" x14ac:dyDescent="0.25">
      <c r="A5" s="11" t="s">
        <v>61</v>
      </c>
      <c r="B5" s="3" t="s">
        <v>62</v>
      </c>
      <c r="C5" s="4">
        <v>18000</v>
      </c>
      <c r="D5" s="3" t="s">
        <v>63</v>
      </c>
    </row>
    <row r="6" spans="1:4" ht="45" x14ac:dyDescent="0.25">
      <c r="A6" s="11" t="s">
        <v>64</v>
      </c>
      <c r="B6" s="3" t="s">
        <v>65</v>
      </c>
      <c r="C6" s="4">
        <v>62000</v>
      </c>
      <c r="D6" s="3" t="s">
        <v>66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2D97-30F7-4014-9B3E-F4A8E4E9FAF4}">
  <dimension ref="A1:G6"/>
  <sheetViews>
    <sheetView workbookViewId="0">
      <selection activeCell="J1" sqref="J1"/>
    </sheetView>
  </sheetViews>
  <sheetFormatPr defaultRowHeight="15" x14ac:dyDescent="0.25"/>
  <cols>
    <col min="1" max="1" width="7.42578125" bestFit="1" customWidth="1"/>
    <col min="2" max="2" width="13.85546875" bestFit="1" customWidth="1"/>
    <col min="3" max="3" width="6.5703125" bestFit="1" customWidth="1"/>
    <col min="4" max="4" width="7.7109375" bestFit="1" customWidth="1"/>
    <col min="5" max="5" width="7.28515625" bestFit="1" customWidth="1"/>
    <col min="6" max="6" width="7.28515625" customWidth="1"/>
    <col min="7" max="7" width="11" bestFit="1" customWidth="1"/>
  </cols>
  <sheetData>
    <row r="1" spans="1:7" x14ac:dyDescent="0.25">
      <c r="A1" s="13" t="s">
        <v>68</v>
      </c>
      <c r="B1" s="13" t="s">
        <v>69</v>
      </c>
      <c r="C1" s="13" t="s">
        <v>70</v>
      </c>
      <c r="D1" s="13" t="s">
        <v>71</v>
      </c>
      <c r="E1" s="13" t="s">
        <v>72</v>
      </c>
      <c r="F1" s="13" t="s">
        <v>79</v>
      </c>
      <c r="G1" s="13" t="s">
        <v>73</v>
      </c>
    </row>
    <row r="2" spans="1:7" x14ac:dyDescent="0.25">
      <c r="A2" s="3">
        <v>1</v>
      </c>
      <c r="B2" s="3" t="s">
        <v>74</v>
      </c>
      <c r="C2" s="3">
        <v>78</v>
      </c>
      <c r="D2" s="3">
        <v>82</v>
      </c>
      <c r="E2" s="3">
        <v>74</v>
      </c>
      <c r="F2" s="3">
        <f>+SUM(C2:E2)</f>
        <v>234</v>
      </c>
      <c r="G2" s="12">
        <f>+F2/300</f>
        <v>0.78</v>
      </c>
    </row>
    <row r="3" spans="1:7" x14ac:dyDescent="0.25">
      <c r="A3" s="3">
        <v>2</v>
      </c>
      <c r="B3" s="3" t="s">
        <v>75</v>
      </c>
      <c r="C3" s="3">
        <v>65</v>
      </c>
      <c r="D3" s="3">
        <v>70</v>
      </c>
      <c r="E3" s="3">
        <v>68</v>
      </c>
      <c r="F3" s="3">
        <f t="shared" ref="F3:F6" si="0">+SUM(C3:E3)</f>
        <v>203</v>
      </c>
      <c r="G3" s="12">
        <f t="shared" ref="G3:G6" si="1">+F3/300</f>
        <v>0.67666666666666664</v>
      </c>
    </row>
    <row r="4" spans="1:7" x14ac:dyDescent="0.25">
      <c r="A4" s="3">
        <v>3</v>
      </c>
      <c r="B4" s="3" t="s">
        <v>76</v>
      </c>
      <c r="C4" s="3">
        <v>90</v>
      </c>
      <c r="D4" s="3">
        <v>88</v>
      </c>
      <c r="E4" s="3">
        <v>92</v>
      </c>
      <c r="F4" s="3">
        <f t="shared" si="0"/>
        <v>270</v>
      </c>
      <c r="G4" s="12">
        <f t="shared" si="1"/>
        <v>0.9</v>
      </c>
    </row>
    <row r="5" spans="1:7" x14ac:dyDescent="0.25">
      <c r="A5" s="3">
        <v>4</v>
      </c>
      <c r="B5" s="3" t="s">
        <v>77</v>
      </c>
      <c r="C5" s="3">
        <v>35</v>
      </c>
      <c r="D5" s="3">
        <v>40</v>
      </c>
      <c r="E5" s="3">
        <v>38</v>
      </c>
      <c r="F5" s="3">
        <f t="shared" si="0"/>
        <v>113</v>
      </c>
      <c r="G5" s="12">
        <f t="shared" si="1"/>
        <v>0.37666666666666665</v>
      </c>
    </row>
    <row r="6" spans="1:7" x14ac:dyDescent="0.25">
      <c r="A6" s="3">
        <v>5</v>
      </c>
      <c r="B6" s="3" t="s">
        <v>78</v>
      </c>
      <c r="C6" s="3">
        <v>55</v>
      </c>
      <c r="D6" s="3">
        <v>60</v>
      </c>
      <c r="E6" s="3">
        <v>58</v>
      </c>
      <c r="F6" s="3">
        <f t="shared" si="0"/>
        <v>173</v>
      </c>
      <c r="G6" s="12">
        <f t="shared" si="1"/>
        <v>0.57666666666666666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5FFF-707C-4C0E-AE65-C0EEB858EBA0}">
  <dimension ref="A1:F8"/>
  <sheetViews>
    <sheetView workbookViewId="0">
      <selection sqref="A1:C1"/>
    </sheetView>
  </sheetViews>
  <sheetFormatPr defaultRowHeight="15" x14ac:dyDescent="0.25"/>
  <cols>
    <col min="1" max="1" width="10.42578125" bestFit="1" customWidth="1"/>
    <col min="2" max="2" width="10.42578125" style="7" bestFit="1" customWidth="1"/>
    <col min="3" max="3" width="13.28515625" bestFit="1" customWidth="1"/>
  </cols>
  <sheetData>
    <row r="1" spans="1:6" x14ac:dyDescent="0.25">
      <c r="A1" s="25" t="s">
        <v>80</v>
      </c>
      <c r="B1" s="30" t="s">
        <v>81</v>
      </c>
      <c r="C1" s="25" t="s">
        <v>53</v>
      </c>
      <c r="F1" s="1"/>
    </row>
    <row r="2" spans="1:6" x14ac:dyDescent="0.25">
      <c r="A2" s="3" t="s">
        <v>82</v>
      </c>
      <c r="B2" s="15">
        <v>45292</v>
      </c>
      <c r="C2" s="3">
        <v>12000</v>
      </c>
    </row>
    <row r="3" spans="1:6" x14ac:dyDescent="0.25">
      <c r="A3" s="3" t="s">
        <v>83</v>
      </c>
      <c r="B3" s="15">
        <v>45294</v>
      </c>
      <c r="C3" s="3">
        <v>25000</v>
      </c>
    </row>
    <row r="4" spans="1:6" x14ac:dyDescent="0.25">
      <c r="A4" s="3" t="s">
        <v>84</v>
      </c>
      <c r="B4" s="15">
        <v>45296</v>
      </c>
      <c r="C4" s="3">
        <v>8000</v>
      </c>
    </row>
    <row r="5" spans="1:6" x14ac:dyDescent="0.25">
      <c r="A5" s="3" t="s">
        <v>85</v>
      </c>
      <c r="B5" s="15">
        <v>45299</v>
      </c>
      <c r="C5" s="3">
        <v>32000</v>
      </c>
    </row>
    <row r="6" spans="1:6" x14ac:dyDescent="0.25">
      <c r="A6" s="3" t="s">
        <v>86</v>
      </c>
      <c r="B6" s="15">
        <v>45301</v>
      </c>
      <c r="C6" s="3">
        <v>15000</v>
      </c>
    </row>
    <row r="7" spans="1:6" x14ac:dyDescent="0.25">
      <c r="A7" s="14" t="s">
        <v>87</v>
      </c>
      <c r="B7" s="14"/>
      <c r="C7" s="2">
        <f>SUM(C2:C6)</f>
        <v>92000</v>
      </c>
    </row>
    <row r="8" spans="1:6" x14ac:dyDescent="0.25">
      <c r="A8" s="14" t="s">
        <v>88</v>
      </c>
      <c r="B8" s="14"/>
      <c r="C8" s="2">
        <f>+AVERAGE(C2:C6)</f>
        <v>18400</v>
      </c>
    </row>
  </sheetData>
  <mergeCells count="2">
    <mergeCell ref="A7:B7"/>
    <mergeCell ref="A8:B8"/>
  </mergeCells>
  <conditionalFormatting sqref="C2:C6">
    <cfRule type="top10" dxfId="17" priority="3" rank="1"/>
    <cfRule type="top10" dxfId="18" priority="2" bottom="1" rank="1"/>
    <cfRule type="top10" dxfId="16" priority="1" rank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B37B-BD36-4CEF-97D5-3302067713F7}">
  <dimension ref="A1:D9"/>
  <sheetViews>
    <sheetView workbookViewId="0">
      <selection activeCell="F1" sqref="F1"/>
    </sheetView>
  </sheetViews>
  <sheetFormatPr defaultColWidth="8.85546875" defaultRowHeight="15" x14ac:dyDescent="0.25"/>
  <cols>
    <col min="1" max="1" width="15.7109375" bestFit="1" customWidth="1"/>
    <col min="2" max="2" width="11.7109375" bestFit="1" customWidth="1"/>
    <col min="3" max="4" width="10.7109375" bestFit="1" customWidth="1"/>
  </cols>
  <sheetData>
    <row r="1" spans="1:4" x14ac:dyDescent="0.25">
      <c r="A1" s="18" t="s">
        <v>89</v>
      </c>
      <c r="B1" s="18" t="s">
        <v>2</v>
      </c>
      <c r="C1" s="18" t="s">
        <v>3</v>
      </c>
      <c r="D1" s="18" t="s">
        <v>79</v>
      </c>
    </row>
    <row r="2" spans="1:4" x14ac:dyDescent="0.25">
      <c r="A2" s="3" t="s">
        <v>93</v>
      </c>
      <c r="B2" s="3" t="s">
        <v>13</v>
      </c>
      <c r="C2" s="4">
        <v>42000</v>
      </c>
      <c r="D2" s="16">
        <f>+SUM(C2:C3)</f>
        <v>80000</v>
      </c>
    </row>
    <row r="3" spans="1:4" x14ac:dyDescent="0.25">
      <c r="A3" s="3" t="s">
        <v>95</v>
      </c>
      <c r="B3" s="3" t="s">
        <v>13</v>
      </c>
      <c r="C3" s="4">
        <v>38000</v>
      </c>
      <c r="D3" s="16"/>
    </row>
    <row r="4" spans="1:4" x14ac:dyDescent="0.25">
      <c r="A4" s="3" t="s">
        <v>90</v>
      </c>
      <c r="B4" s="3" t="s">
        <v>7</v>
      </c>
      <c r="C4" s="4">
        <v>28000</v>
      </c>
      <c r="D4" s="16">
        <f>+SUM(C4:C5)</f>
        <v>58000</v>
      </c>
    </row>
    <row r="5" spans="1:4" x14ac:dyDescent="0.25">
      <c r="A5" s="3" t="s">
        <v>94</v>
      </c>
      <c r="B5" s="3" t="s">
        <v>7</v>
      </c>
      <c r="C5" s="4">
        <v>30000</v>
      </c>
      <c r="D5" s="16"/>
    </row>
    <row r="6" spans="1:4" x14ac:dyDescent="0.25">
      <c r="A6" s="3" t="s">
        <v>91</v>
      </c>
      <c r="B6" s="3" t="s">
        <v>10</v>
      </c>
      <c r="C6" s="4">
        <v>45000</v>
      </c>
      <c r="D6" s="16">
        <f>+SUM(C6:C7)</f>
        <v>95000</v>
      </c>
    </row>
    <row r="7" spans="1:4" x14ac:dyDescent="0.25">
      <c r="A7" s="3" t="s">
        <v>92</v>
      </c>
      <c r="B7" s="3" t="s">
        <v>10</v>
      </c>
      <c r="C7" s="4">
        <v>50000</v>
      </c>
      <c r="D7" s="16"/>
    </row>
    <row r="8" spans="1:4" x14ac:dyDescent="0.25">
      <c r="A8" s="19" t="s">
        <v>96</v>
      </c>
      <c r="B8" s="19"/>
      <c r="C8" s="17">
        <f>+AVERAGE(C2:C7)</f>
        <v>38833.333333333336</v>
      </c>
    </row>
    <row r="9" spans="1:4" x14ac:dyDescent="0.25">
      <c r="A9" s="6">
        <f>+COUNTA(A2:A7)</f>
        <v>6</v>
      </c>
      <c r="B9" s="20" t="s">
        <v>97</v>
      </c>
      <c r="C9" s="20"/>
    </row>
  </sheetData>
  <sortState xmlns:xlrd2="http://schemas.microsoft.com/office/spreadsheetml/2017/richdata2" ref="A2:C7">
    <sortCondition ref="B2:B7"/>
  </sortState>
  <mergeCells count="4">
    <mergeCell ref="D2:D3"/>
    <mergeCell ref="D4:D5"/>
    <mergeCell ref="D6:D7"/>
    <mergeCell ref="A8:B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1F95-4D20-4098-B2E6-FA88CE38A2A7}">
  <dimension ref="A1:H5"/>
  <sheetViews>
    <sheetView workbookViewId="0">
      <selection activeCell="F15" sqref="F15"/>
    </sheetView>
  </sheetViews>
  <sheetFormatPr defaultRowHeight="15" x14ac:dyDescent="0.25"/>
  <cols>
    <col min="1" max="1" width="13.85546875" bestFit="1" customWidth="1"/>
    <col min="7" max="7" width="11.5703125" bestFit="1" customWidth="1"/>
    <col min="8" max="8" width="12.140625" style="22" bestFit="1" customWidth="1"/>
  </cols>
  <sheetData>
    <row r="1" spans="1:8" x14ac:dyDescent="0.25">
      <c r="A1" s="24" t="s">
        <v>69</v>
      </c>
      <c r="B1" s="25" t="s">
        <v>98</v>
      </c>
      <c r="C1" s="25" t="s">
        <v>99</v>
      </c>
      <c r="D1" s="25" t="s">
        <v>100</v>
      </c>
      <c r="E1" s="25" t="s">
        <v>101</v>
      </c>
      <c r="F1" s="25" t="s">
        <v>102</v>
      </c>
      <c r="G1" s="25" t="s">
        <v>105</v>
      </c>
      <c r="H1" s="26" t="s">
        <v>106</v>
      </c>
    </row>
    <row r="2" spans="1:8" x14ac:dyDescent="0.25">
      <c r="A2" s="3" t="s">
        <v>74</v>
      </c>
      <c r="B2" s="21" t="s">
        <v>103</v>
      </c>
      <c r="C2" s="21" t="s">
        <v>104</v>
      </c>
      <c r="D2" s="21" t="s">
        <v>103</v>
      </c>
      <c r="E2" s="21" t="s">
        <v>103</v>
      </c>
      <c r="F2" s="21" t="s">
        <v>103</v>
      </c>
      <c r="G2" s="21">
        <f>+COUNTIF(B2:F2,"P")</f>
        <v>4</v>
      </c>
      <c r="H2" s="23">
        <f>+COUNTIF(B2:F2,"A")</f>
        <v>1</v>
      </c>
    </row>
    <row r="3" spans="1:8" x14ac:dyDescent="0.25">
      <c r="A3" s="3" t="s">
        <v>75</v>
      </c>
      <c r="B3" s="21" t="s">
        <v>103</v>
      </c>
      <c r="C3" s="21" t="s">
        <v>103</v>
      </c>
      <c r="D3" s="21" t="s">
        <v>103</v>
      </c>
      <c r="E3" s="21" t="s">
        <v>104</v>
      </c>
      <c r="F3" s="21" t="s">
        <v>103</v>
      </c>
      <c r="G3" s="21">
        <f t="shared" ref="G3:G5" si="0">+COUNTIF(B3:F3,"P")</f>
        <v>4</v>
      </c>
      <c r="H3" s="23">
        <f t="shared" ref="H3:H5" si="1">+COUNTIF(B3:F3,"A")</f>
        <v>1</v>
      </c>
    </row>
    <row r="4" spans="1:8" x14ac:dyDescent="0.25">
      <c r="A4" s="3" t="s">
        <v>76</v>
      </c>
      <c r="B4" s="21" t="s">
        <v>104</v>
      </c>
      <c r="C4" s="21" t="s">
        <v>103</v>
      </c>
      <c r="D4" s="21" t="s">
        <v>103</v>
      </c>
      <c r="E4" s="21" t="s">
        <v>103</v>
      </c>
      <c r="F4" s="21" t="s">
        <v>103</v>
      </c>
      <c r="G4" s="21">
        <f t="shared" si="0"/>
        <v>4</v>
      </c>
      <c r="H4" s="23">
        <f t="shared" si="1"/>
        <v>1</v>
      </c>
    </row>
    <row r="5" spans="1:8" x14ac:dyDescent="0.25">
      <c r="A5" s="3" t="s">
        <v>77</v>
      </c>
      <c r="B5" s="21" t="s">
        <v>103</v>
      </c>
      <c r="C5" s="21" t="s">
        <v>104</v>
      </c>
      <c r="D5" s="21" t="s">
        <v>104</v>
      </c>
      <c r="E5" s="21" t="s">
        <v>103</v>
      </c>
      <c r="F5" s="21" t="s">
        <v>104</v>
      </c>
      <c r="G5" s="21">
        <f t="shared" si="0"/>
        <v>2</v>
      </c>
      <c r="H5" s="23">
        <f t="shared" si="1"/>
        <v>3</v>
      </c>
    </row>
  </sheetData>
  <conditionalFormatting sqref="B2:F5">
    <cfRule type="cellIs" dxfId="15" priority="1" operator="equal">
      <formula>"p"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8C98-79C4-4C64-9D3A-3B81DAD8973F}">
  <dimension ref="A1:B9"/>
  <sheetViews>
    <sheetView workbookViewId="0">
      <selection sqref="A1:B1"/>
    </sheetView>
  </sheetViews>
  <sheetFormatPr defaultRowHeight="15" x14ac:dyDescent="0.25"/>
  <cols>
    <col min="1" max="1" width="17.42578125" customWidth="1"/>
    <col min="2" max="2" width="13.28515625" bestFit="1" customWidth="1"/>
  </cols>
  <sheetData>
    <row r="1" spans="1:2" x14ac:dyDescent="0.25">
      <c r="A1" s="24" t="s">
        <v>107</v>
      </c>
      <c r="B1" s="24" t="s">
        <v>53</v>
      </c>
    </row>
    <row r="2" spans="1:2" x14ac:dyDescent="0.25">
      <c r="A2" s="3" t="s">
        <v>108</v>
      </c>
      <c r="B2" s="4">
        <v>4500</v>
      </c>
    </row>
    <row r="3" spans="1:2" x14ac:dyDescent="0.25">
      <c r="A3" s="3" t="s">
        <v>109</v>
      </c>
      <c r="B3" s="4">
        <v>12000</v>
      </c>
    </row>
    <row r="4" spans="1:2" x14ac:dyDescent="0.25">
      <c r="A4" s="3" t="s">
        <v>110</v>
      </c>
      <c r="B4" s="4">
        <v>8000</v>
      </c>
    </row>
    <row r="5" spans="1:2" x14ac:dyDescent="0.25">
      <c r="A5" s="3" t="s">
        <v>111</v>
      </c>
      <c r="B5" s="4">
        <v>25000</v>
      </c>
    </row>
    <row r="6" spans="1:2" x14ac:dyDescent="0.25">
      <c r="A6" s="3" t="s">
        <v>112</v>
      </c>
      <c r="B6" s="4">
        <v>3000</v>
      </c>
    </row>
    <row r="7" spans="1:2" x14ac:dyDescent="0.25">
      <c r="A7" s="3" t="s">
        <v>113</v>
      </c>
      <c r="B7" s="4">
        <v>15000</v>
      </c>
    </row>
    <row r="8" spans="1:2" ht="34.5" x14ac:dyDescent="0.5">
      <c r="A8" s="27" t="s">
        <v>114</v>
      </c>
      <c r="B8" s="28">
        <f>+COUNTIF(B2:B7,"&gt;10000")</f>
        <v>3</v>
      </c>
    </row>
    <row r="9" spans="1:2" ht="34.5" x14ac:dyDescent="0.5">
      <c r="A9" s="27" t="s">
        <v>115</v>
      </c>
      <c r="B9" s="28">
        <f>+COUNTIF(B3:B8,"&lt;5000")</f>
        <v>2</v>
      </c>
    </row>
  </sheetData>
  <conditionalFormatting sqref="B2:B7">
    <cfRule type="cellIs" dxfId="12" priority="2" operator="greaterThan">
      <formula>10000</formula>
    </cfRule>
    <cfRule type="cellIs" dxfId="13" priority="1" operator="lessThan">
      <formula>5000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F5AC-2921-45AF-B44D-6D709BDF4C7E}">
  <dimension ref="A1:B6"/>
  <sheetViews>
    <sheetView workbookViewId="0">
      <selection sqref="A1:B1"/>
    </sheetView>
  </sheetViews>
  <sheetFormatPr defaultRowHeight="15" x14ac:dyDescent="0.25"/>
  <cols>
    <col min="1" max="1" width="12.140625" bestFit="1" customWidth="1"/>
    <col min="2" max="2" width="13.28515625" bestFit="1" customWidth="1"/>
  </cols>
  <sheetData>
    <row r="1" spans="1:2" x14ac:dyDescent="0.25">
      <c r="A1" s="25" t="s">
        <v>116</v>
      </c>
      <c r="B1" s="25" t="s">
        <v>53</v>
      </c>
    </row>
    <row r="2" spans="1:2" x14ac:dyDescent="0.25">
      <c r="A2" s="21" t="s">
        <v>117</v>
      </c>
      <c r="B2" s="29">
        <v>22000</v>
      </c>
    </row>
    <row r="3" spans="1:2" x14ac:dyDescent="0.25">
      <c r="A3" s="21" t="s">
        <v>118</v>
      </c>
      <c r="B3" s="29">
        <v>3500</v>
      </c>
    </row>
    <row r="4" spans="1:2" x14ac:dyDescent="0.25">
      <c r="A4" s="21" t="s">
        <v>119</v>
      </c>
      <c r="B4" s="29">
        <v>58000</v>
      </c>
    </row>
    <row r="5" spans="1:2" x14ac:dyDescent="0.25">
      <c r="A5" s="21" t="s">
        <v>120</v>
      </c>
      <c r="B5" s="29">
        <v>1800</v>
      </c>
    </row>
    <row r="6" spans="1:2" x14ac:dyDescent="0.25">
      <c r="A6" s="21" t="s">
        <v>121</v>
      </c>
      <c r="B6" s="29">
        <v>12000</v>
      </c>
    </row>
  </sheetData>
  <conditionalFormatting sqref="B2:B6">
    <cfRule type="cellIs" dxfId="9" priority="2" operator="greaterThan">
      <formula>20000</formula>
    </cfRule>
    <cfRule type="cellIs" dxfId="10" priority="1" operator="lessThan">
      <formula>5000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C85B-9AFB-4E92-B1FC-591F5F0B4558}">
  <dimension ref="A1:C6"/>
  <sheetViews>
    <sheetView workbookViewId="0">
      <selection activeCell="G1" sqref="G1"/>
    </sheetView>
  </sheetViews>
  <sheetFormatPr defaultRowHeight="15" x14ac:dyDescent="0.25"/>
  <sheetData>
    <row r="1" spans="1:3" x14ac:dyDescent="0.25">
      <c r="A1" s="25" t="s">
        <v>68</v>
      </c>
      <c r="B1" s="25" t="s">
        <v>1</v>
      </c>
      <c r="C1" s="25" t="s">
        <v>122</v>
      </c>
    </row>
    <row r="2" spans="1:3" x14ac:dyDescent="0.25">
      <c r="A2" s="21">
        <v>1</v>
      </c>
      <c r="B2" s="21" t="s">
        <v>94</v>
      </c>
      <c r="C2" s="21">
        <v>85</v>
      </c>
    </row>
    <row r="3" spans="1:3" x14ac:dyDescent="0.25">
      <c r="A3" s="21">
        <v>2</v>
      </c>
      <c r="B3" s="21" t="s">
        <v>123</v>
      </c>
      <c r="C3" s="21">
        <v>72</v>
      </c>
    </row>
    <row r="4" spans="1:3" x14ac:dyDescent="0.25">
      <c r="A4" s="21">
        <v>3</v>
      </c>
      <c r="B4" s="21" t="s">
        <v>124</v>
      </c>
      <c r="C4" s="21">
        <v>39</v>
      </c>
    </row>
    <row r="5" spans="1:3" x14ac:dyDescent="0.25">
      <c r="A5" s="21">
        <v>4</v>
      </c>
      <c r="B5" s="21" t="s">
        <v>125</v>
      </c>
      <c r="C5" s="21">
        <v>91</v>
      </c>
    </row>
    <row r="6" spans="1:3" x14ac:dyDescent="0.25">
      <c r="A6" s="21">
        <v>5</v>
      </c>
      <c r="B6" s="21" t="s">
        <v>126</v>
      </c>
      <c r="C6" s="21">
        <v>28</v>
      </c>
    </row>
  </sheetData>
  <conditionalFormatting sqref="C2:C6">
    <cfRule type="cellIs" dxfId="8" priority="2" operator="greaterThanOrEqual">
      <formula>75</formula>
    </cfRule>
    <cfRule type="cellIs" dxfId="7" priority="1" operator="lessThanOrEqual">
      <formula>40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CCC3-816D-4316-B93D-2DC295408581}">
  <dimension ref="A1:B6"/>
  <sheetViews>
    <sheetView workbookViewId="0">
      <selection activeCell="S16" sqref="S16"/>
    </sheetView>
  </sheetViews>
  <sheetFormatPr defaultRowHeight="15" x14ac:dyDescent="0.25"/>
  <cols>
    <col min="1" max="1" width="15.7109375" bestFit="1" customWidth="1"/>
    <col min="2" max="2" width="10.7109375" bestFit="1" customWidth="1"/>
  </cols>
  <sheetData>
    <row r="1" spans="1:2" x14ac:dyDescent="0.25">
      <c r="A1" s="25" t="s">
        <v>89</v>
      </c>
      <c r="B1" s="25" t="s">
        <v>3</v>
      </c>
    </row>
    <row r="2" spans="1:2" x14ac:dyDescent="0.25">
      <c r="A2" s="3" t="s">
        <v>127</v>
      </c>
      <c r="B2" s="4">
        <v>28000</v>
      </c>
    </row>
    <row r="3" spans="1:2" x14ac:dyDescent="0.25">
      <c r="A3" s="3" t="s">
        <v>128</v>
      </c>
      <c r="B3" s="4">
        <v>34000</v>
      </c>
    </row>
    <row r="4" spans="1:2" x14ac:dyDescent="0.25">
      <c r="A4" s="3" t="s">
        <v>129</v>
      </c>
      <c r="B4" s="4">
        <v>51000</v>
      </c>
    </row>
    <row r="5" spans="1:2" x14ac:dyDescent="0.25">
      <c r="A5" s="3" t="s">
        <v>130</v>
      </c>
      <c r="B5" s="4">
        <v>47000</v>
      </c>
    </row>
    <row r="6" spans="1:2" x14ac:dyDescent="0.25">
      <c r="A6" s="3" t="s">
        <v>131</v>
      </c>
      <c r="B6" s="4">
        <v>29000</v>
      </c>
    </row>
  </sheetData>
  <conditionalFormatting sqref="B2:B6">
    <cfRule type="cellIs" dxfId="3" priority="3" operator="greaterThanOrEqual">
      <formula>50000</formula>
    </cfRule>
    <cfRule type="cellIs" dxfId="4" priority="2" operator="between">
      <formula>30000</formula>
      <formula>49999</formula>
    </cfRule>
    <cfRule type="cellIs" dxfId="2" priority="1" operator="lessThan">
      <formula>30000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0992-F6DE-4E53-8262-FC22D4183FCA}">
  <dimension ref="A1:A10"/>
  <sheetViews>
    <sheetView tabSelected="1" workbookViewId="0">
      <selection activeCell="L16" sqref="L16"/>
    </sheetView>
  </sheetViews>
  <sheetFormatPr defaultRowHeight="15" x14ac:dyDescent="0.25"/>
  <cols>
    <col min="1" max="1" width="10.42578125" bestFit="1" customWidth="1"/>
  </cols>
  <sheetData>
    <row r="1" spans="1:1" x14ac:dyDescent="0.25">
      <c r="A1" s="7">
        <f ca="1">+RANDBETWEEN(DATE(2000,1,1),DATE(2025,1,1))</f>
        <v>39666</v>
      </c>
    </row>
    <row r="2" spans="1:1" x14ac:dyDescent="0.25">
      <c r="A2" s="7">
        <f t="shared" ref="A2:A10" ca="1" si="0">+RANDBETWEEN(DATE(2000,1,1),DATE(2025,1,1))</f>
        <v>40641</v>
      </c>
    </row>
    <row r="3" spans="1:1" x14ac:dyDescent="0.25">
      <c r="A3" s="7">
        <f t="shared" ca="1" si="0"/>
        <v>44441</v>
      </c>
    </row>
    <row r="4" spans="1:1" x14ac:dyDescent="0.25">
      <c r="A4" s="7">
        <f t="shared" ca="1" si="0"/>
        <v>43600</v>
      </c>
    </row>
    <row r="5" spans="1:1" x14ac:dyDescent="0.25">
      <c r="A5" s="7">
        <f t="shared" ca="1" si="0"/>
        <v>44870</v>
      </c>
    </row>
    <row r="6" spans="1:1" x14ac:dyDescent="0.25">
      <c r="A6" s="7">
        <f t="shared" ca="1" si="0"/>
        <v>41550</v>
      </c>
    </row>
    <row r="7" spans="1:1" x14ac:dyDescent="0.25">
      <c r="A7" s="7">
        <f t="shared" ca="1" si="0"/>
        <v>36621</v>
      </c>
    </row>
    <row r="8" spans="1:1" x14ac:dyDescent="0.25">
      <c r="A8" s="7">
        <f t="shared" ca="1" si="0"/>
        <v>40636</v>
      </c>
    </row>
    <row r="9" spans="1:1" x14ac:dyDescent="0.25">
      <c r="A9" s="7">
        <f t="shared" ca="1" si="0"/>
        <v>40555</v>
      </c>
    </row>
    <row r="10" spans="1:1" x14ac:dyDescent="0.25">
      <c r="A10" s="7">
        <f t="shared" ca="1" si="0"/>
        <v>37916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task-1</vt:lpstr>
      <vt:lpstr>task-2</vt:lpstr>
      <vt:lpstr>task-3</vt:lpstr>
      <vt:lpstr>task-4</vt:lpstr>
      <vt:lpstr>task-5</vt:lpstr>
      <vt:lpstr>task-6</vt:lpstr>
      <vt:lpstr>task-7</vt:lpstr>
      <vt:lpstr>task-8</vt:lpstr>
      <vt:lpstr>task-9</vt:lpstr>
      <vt:lpstr>task-10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2026-01-24T14:44:41Z</dcterms:created>
  <dcterms:modified xsi:type="dcterms:W3CDTF">2026-01-24T15:49:00Z</dcterms:modified>
</cp:coreProperties>
</file>